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 activeTab="3"/>
  </bookViews>
  <sheets>
    <sheet name="Rawdata" sheetId="5" r:id="rId1"/>
    <sheet name="Titanic.csv" sheetId="1" r:id="rId2"/>
    <sheet name="Analysis" sheetId="2" r:id="rId3"/>
    <sheet name="PivotTable" sheetId="3" r:id="rId4"/>
    <sheet name="Dashboard" sheetId="4" r:id="rId5"/>
  </sheets>
  <definedNames>
    <definedName name="Slicer_Sex">#N/A</definedName>
    <definedName name="Slicer_Pclass">#N/A</definedName>
    <definedName name="Slicer_Survived">#N/A</definedName>
    <definedName name="Slicer_Embarked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10"/>
        <x14:slicerCache r:id="rId9"/>
        <x14:slicerCache r:id="rId8"/>
        <x14:slicerCache r:id="rId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<sst xmlns="http://schemas.openxmlformats.org/spreadsheetml/2006/main" count="6360" uniqueCount="1285">
  <si>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</si>
  <si>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</si>
  <si>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</si>
  <si>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</si>
  <si>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</si>
  <si>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</si>
  <si>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</si>
  <si>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</si>
  <si>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</si>
  <si>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</si>
  <si>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</si>
  <si>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</si>
  <si>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</si>
  <si>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</si>
  <si>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</si>
  <si>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</si>
  <si>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</si>
  <si>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</si>
  <si>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</si>
  <si>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</si>
  <si>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</si>
  <si>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</si>
  <si>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</si>
  <si>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</si>
  <si>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</si>
  <si>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</si>
  <si>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</si>
  <si>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</si>
  <si>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</si>
  <si>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</si>
  <si>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</si>
  <si>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</si>
  <si>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</si>
  <si>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</si>
  <si>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</si>
  <si>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</si>
  <si>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</si>
  <si>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</si>
  <si>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</si>
  <si>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</si>
  <si>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</si>
  <si>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</si>
  <si>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</si>
  <si>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</si>
  <si>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</si>
  <si>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</si>
  <si>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</si>
  <si>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</si>
  <si>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</si>
  <si>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</si>
  <si>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</si>
  <si>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</si>
  <si>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</si>
  <si>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</si>
  <si>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</si>
  <si>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</si>
  <si>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</si>
  <si>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</si>
  <si>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</si>
  <si>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</si>
  <si>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</si>
  <si>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</si>
  <si>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</si>
  <si>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</si>
  <si>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</si>
  <si>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</si>
  <si>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</si>
  <si>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</si>
  <si>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</si>
  <si>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</si>
  <si>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</si>
  <si>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</si>
  <si>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</si>
  <si>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</si>
  <si>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</si>
  <si>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</si>
  <si>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</si>
  <si>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</si>
  <si>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</si>
  <si>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</si>
  <si>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</si>
  <si>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</si>
  <si>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</si>
  <si>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</si>
  <si>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</si>
  <si>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</si>
  <si>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</si>
  <si>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</si>
  <si>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</si>
  <si>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</si>
  <si>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</si>
  <si>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</si>
  <si>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</si>
  <si>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</si>
  <si>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</si>
  <si>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</si>
  <si>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</si>
  <si>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</si>
  <si>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</si>
  <si>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</si>
  <si>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</si>
  <si>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</si>
  <si>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</si>
  <si>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</si>
  <si>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</si>
  <si>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</si>
  <si>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</si>
  <si>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</si>
  <si>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</si>
  <si>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</si>
  <si>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</si>
  <si>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</si>
  <si>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</si>
  <si>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</si>
  <si>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</si>
  <si>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</si>
  <si>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</si>
  <si>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</si>
  <si>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</si>
  <si>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</si>
  <si>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</si>
  <si>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</si>
  <si>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</si>
  <si>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</si>
  <si>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</si>
  <si>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</si>
  <si>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</si>
  <si>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</si>
  <si>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</si>
  <si>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</si>
  <si>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</si>
  <si>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</si>
  <si>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</si>
  <si>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</si>
  <si>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</si>
  <si>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</si>
  <si>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</si>
  <si>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</si>
  <si>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</si>
  <si>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</si>
  <si>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</si>
  <si>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</si>
  <si>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</si>
  <si>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</si>
  <si>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</si>
  <si>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</si>
  <si>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</si>
  <si>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</si>
  <si>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</si>
  <si>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</si>
  <si>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</si>
  <si>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</si>
  <si>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</si>
  <si>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</si>
  <si>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</si>
  <si>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</si>
  <si>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</si>
  <si>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</si>
  <si>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</si>
  <si>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</si>
  <si>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</si>
  <si>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</si>
  <si>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</si>
  <si>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</si>
  <si>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</si>
  <si>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</si>
  <si>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</si>
  <si>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</si>
  <si>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</si>
  <si>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</si>
  <si>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</si>
  <si>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</si>
  <si>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</si>
  <si>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</si>
  <si>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</si>
  <si>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</si>
  <si>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</si>
  <si>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</si>
  <si>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</si>
  <si>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</si>
  <si>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</si>
  <si>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</si>
  <si>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</si>
  <si>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</si>
  <si>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</si>
  <si>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</si>
  <si>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</si>
  <si>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</si>
  <si>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</si>
  <si>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</si>
  <si>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</si>
  <si>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</si>
  <si>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</si>
  <si>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</si>
  <si>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</si>
  <si>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</si>
  <si>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</si>
  <si>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</si>
  <si>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</si>
  <si>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</si>
  <si>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</si>
  <si>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</si>
  <si>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</si>
  <si>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</si>
  <si>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</si>
  <si>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</si>
  <si>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</si>
  <si>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</si>
  <si>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</si>
  <si>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</si>
  <si>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</si>
  <si>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</si>
  <si>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</si>
  <si>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</si>
  <si>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</si>
  <si>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</si>
  <si>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</si>
  <si>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</si>
  <si>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</si>
  <si>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</si>
  <si>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</si>
  <si>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</si>
  <si>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</si>
  <si>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</si>
  <si>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</si>
  <si>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</si>
  <si>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</si>
  <si>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</si>
  <si>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</si>
  <si>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</si>
  <si>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</si>
  <si>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</si>
  <si>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</si>
  <si>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</si>
  <si>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</si>
  <si>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</si>
  <si>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</si>
  <si>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</si>
  <si>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</si>
  <si>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</si>
  <si>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</si>
  <si>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</si>
  <si>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</si>
  <si>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</si>
  <si>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</si>
  <si>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</si>
  <si>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</si>
  <si>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</si>
  <si>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</si>
  <si>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</si>
  <si>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</si>
  <si>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</si>
  <si>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</si>
  <si>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</si>
  <si>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</si>
  <si>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</si>
  <si>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</si>
  <si>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</si>
  <si>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</si>
  <si>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</si>
  <si>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</si>
  <si>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</si>
  <si>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</si>
  <si>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</si>
  <si>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</si>
  <si>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</si>
  <si>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</si>
  <si>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</si>
  <si>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</si>
  <si>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</si>
  <si>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</si>
  <si>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</si>
  <si>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</si>
  <si>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</si>
  <si>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</si>
  <si>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</si>
  <si>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</si>
  <si>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</si>
  <si>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</si>
  <si>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</si>
  <si>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</si>
  <si>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</si>
  <si>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</si>
  <si>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</si>
  <si>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</si>
  <si>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</si>
  <si>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</si>
  <si>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</si>
  <si>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</si>
  <si>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</si>
  <si>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</si>
  <si>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</si>
  <si>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</si>
  <si>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</si>
  <si>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</si>
  <si>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</si>
  <si>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</si>
  <si>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</si>
  <si>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</si>
  <si>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</si>
  <si>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</si>
  <si>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</si>
  <si>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</si>
  <si>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</si>
  <si>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</si>
  <si>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</si>
  <si>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</si>
  <si>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</si>
  <si>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</si>
  <si>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</si>
  <si>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</si>
  <si>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</si>
  <si>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</si>
  <si>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</si>
  <si>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</si>
  <si>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</si>
  <si>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</si>
  <si>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</si>
  <si>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</si>
  <si>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</si>
  <si>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</si>
  <si>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</si>
  <si>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</si>
  <si>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</si>
  <si>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</si>
  <si>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</si>
  <si>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</si>
  <si>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</si>
  <si>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</si>
  <si>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</si>
  <si>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</si>
  <si>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</si>
  <si>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</si>
  <si>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</si>
  <si>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</si>
  <si>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</si>
  <si>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</si>
  <si>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</si>
  <si>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</si>
  <si>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</si>
  <si>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</si>
  <si>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</si>
  <si>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</si>
  <si>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</si>
  <si>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</si>
  <si>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</si>
  <si>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</si>
  <si>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</si>
  <si>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</si>
  <si>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</si>
  <si>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</si>
  <si>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</si>
  <si>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</si>
  <si>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</si>
  <si>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</si>
  <si>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</si>
  <si>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</si>
  <si>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</si>
  <si>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</si>
  <si>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</si>
  <si>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</si>
  <si>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</si>
  <si>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</si>
  <si>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</si>
  <si>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</si>
  <si>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</si>
  <si>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</si>
  <si>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</si>
  <si>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</si>
  <si>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</si>
  <si>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</si>
  <si>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</si>
  <si>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</si>
  <si>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</si>
  <si>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</si>
  <si>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</si>
  <si>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</si>
  <si>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</si>
  <si>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</si>
  <si>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</si>
  <si>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</si>
  <si>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</si>
  <si>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</si>
  <si>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</si>
  <si>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</si>
  <si>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</si>
  <si>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</si>
  <si>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</si>
  <si>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</si>
  <si>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</si>
  <si>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</si>
  <si>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</si>
  <si>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</si>
  <si>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</si>
  <si>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</si>
  <si>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</si>
  <si>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</si>
  <si>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</si>
  <si>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</si>
  <si>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</si>
  <si>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</si>
  <si>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</si>
  <si>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</si>
  <si>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</si>
  <si>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</si>
  <si>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</si>
  <si>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</si>
  <si>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</si>
  <si>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</si>
  <si>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</si>
  <si>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</si>
  <si>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</si>
  <si>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</si>
  <si>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</si>
  <si>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</si>
  <si>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</si>
  <si>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</si>
  <si>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</si>
  <si>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</si>
  <si>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</si>
  <si>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</si>
  <si>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</si>
  <si>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</si>
  <si>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</si>
  <si>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</si>
  <si>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</si>
  <si>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</si>
  <si>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</si>
  <si>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</si>
  <si>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</si>
  <si>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</si>
  <si>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</si>
  <si>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</si>
  <si>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</si>
  <si>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</si>
  <si>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</si>
  <si>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</si>
  <si>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</si>
  <si>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</si>
  <si>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</si>
  <si>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</si>
  <si>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</si>
  <si>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</si>
  <si>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</si>
  <si>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</si>
  <si>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</si>
  <si>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</si>
  <si>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</si>
  <si>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</si>
  <si>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</si>
  <si>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</si>
  <si>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</si>
  <si>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</si>
  <si>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</si>
  <si>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</si>
  <si>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</si>
  <si>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</si>
  <si>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</si>
  <si>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</si>
  <si>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</si>
  <si>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</si>
  <si>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</si>
  <si>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</si>
  <si>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</si>
  <si>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</si>
  <si>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</si>
  <si>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</si>
  <si>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</si>
  <si>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</si>
  <si>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</si>
  <si>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</si>
  <si>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</si>
  <si>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</si>
  <si>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</si>
  <si>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</si>
  <si>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</si>
  <si>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</si>
  <si>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</si>
  <si>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</si>
  <si>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</si>
  <si>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</si>
  <si>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</si>
  <si>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</si>
  <si>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</si>
  <si>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</si>
  <si>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</si>
  <si>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</si>
  <si>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</si>
  <si>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</si>
  <si>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</si>
  <si>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</si>
  <si>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</si>
  <si>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</si>
  <si>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</si>
  <si>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</si>
  <si>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</si>
  <si>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</si>
  <si>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</si>
  <si>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</si>
  <si>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</si>
  <si>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</si>
  <si>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</si>
  <si>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</si>
  <si>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</si>
  <si>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</si>
  <si>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</si>
  <si>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</si>
  <si>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</si>
  <si>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</si>
  <si>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</si>
  <si>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</si>
  <si>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</si>
  <si>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</si>
  <si>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</si>
  <si>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</si>
  <si>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</si>
  <si>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</si>
  <si>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</si>
  <si>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</si>
  <si>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</si>
  <si>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</si>
  <si>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</si>
  <si>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</si>
  <si>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</si>
  <si>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</si>
  <si>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</si>
  <si>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</si>
  <si>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</si>
  <si>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</si>
  <si>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</si>
  <si>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</si>
  <si>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</si>
  <si>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</si>
  <si>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</si>
  <si>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</si>
  <si>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</si>
  <si>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</si>
  <si>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</si>
  <si>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</si>
  <si>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</si>
  <si>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</si>
  <si>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</si>
  <si>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</si>
  <si>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</si>
  <si>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</si>
  <si>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</si>
  <si>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</si>
  <si>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</si>
  <si>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</si>
  <si>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</si>
  <si>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</si>
  <si>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</si>
  <si>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</si>
  <si>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</si>
  <si>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</si>
  <si>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</si>
  <si>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</si>
  <si>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</si>
  <si>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</si>
  <si>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</si>
  <si>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</si>
  <si>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</si>
  <si>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</si>
  <si>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</si>
  <si>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</si>
  <si>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</si>
  <si>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</si>
  <si>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</si>
  <si>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</si>
  <si>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</si>
  <si>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</si>
  <si>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</si>
  <si>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</si>
  <si>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</si>
  <si>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</si>
  <si>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</si>
  <si>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</si>
  <si>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</si>
  <si>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</si>
  <si>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</si>
  <si>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</si>
  <si>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</si>
  <si>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</si>
  <si>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</si>
  <si>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</si>
  <si>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</si>
  <si>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</si>
  <si>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</si>
  <si>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</si>
  <si>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</si>
  <si>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</si>
  <si>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</si>
  <si>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</si>
  <si>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</si>
  <si>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</si>
  <si>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</si>
  <si>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</si>
  <si>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</si>
  <si>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</si>
  <si>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</si>
  <si>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</si>
  <si>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</si>
  <si>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</si>
  <si>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</si>
  <si>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</si>
  <si>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</si>
  <si>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</si>
  <si>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</si>
  <si>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</si>
  <si>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</si>
  <si>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</si>
  <si>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</si>
  <si>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</si>
  <si>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</si>
  <si>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</si>
  <si>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</si>
  <si>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</si>
  <si>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</si>
  <si>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</si>
  <si>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</si>
  <si>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</si>
  <si>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</si>
  <si>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</si>
  <si>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</si>
  <si>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</si>
  <si>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</si>
  <si>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</si>
  <si>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</si>
  <si>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</si>
  <si>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</si>
  <si>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</si>
  <si>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</si>
  <si>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</si>
  <si>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</si>
  <si>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</si>
  <si>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</si>
  <si>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</si>
  <si>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</si>
  <si>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</si>
  <si>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</si>
  <si>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</si>
  <si>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</si>
  <si>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</si>
  <si>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</si>
  <si>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</si>
  <si>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</si>
  <si>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</si>
  <si>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</si>
  <si>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</si>
  <si>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</si>
  <si>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</si>
  <si>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</si>
  <si>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</si>
  <si>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</si>
  <si>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</si>
  <si>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</si>
  <si>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</si>
  <si>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</si>
  <si>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</si>
  <si>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</si>
  <si>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</si>
  <si>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</si>
  <si>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</si>
  <si>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</si>
  <si>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</si>
  <si>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</si>
  <si>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</si>
  <si>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</si>
  <si>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</si>
  <si>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</si>
  <si>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</si>
  <si>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</si>
  <si>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</si>
  <si>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</si>
  <si>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</si>
  <si>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</si>
  <si>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</si>
  <si>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</si>
  <si>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</si>
  <si>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</si>
  <si>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</si>
  <si>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</si>
  <si>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</si>
  <si>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</si>
  <si>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</si>
  <si>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</si>
  <si>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</si>
  <si>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</si>
  <si>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</si>
  <si>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</si>
  <si>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</si>
  <si>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</si>
  <si>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</si>
  <si>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</si>
  <si>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</si>
  <si>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</si>
  <si>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</si>
  <si>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</si>
  <si>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</si>
  <si>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</si>
  <si>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</si>
  <si>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</si>
  <si>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</si>
  <si>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</si>
  <si>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</si>
  <si>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</si>
  <si>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</si>
  <si>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</si>
  <si>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</si>
  <si>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</si>
  <si>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</si>
  <si>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</si>
  <si>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</si>
  <si>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</si>
  <si>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</si>
  <si>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</si>
  <si>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</si>
  <si>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</si>
  <si>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</si>
  <si>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</si>
  <si>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</si>
  <si>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</si>
  <si>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</si>
  <si>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</si>
  <si>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</si>
  <si>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</si>
  <si>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</si>
  <si>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</si>
  <si>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</si>
  <si>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</si>
  <si>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</si>
  <si>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</si>
  <si>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</si>
  <si>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</si>
  <si>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</si>
  <si>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</si>
  <si>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</si>
  <si>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</si>
  <si>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</si>
  <si>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</si>
  <si>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</si>
  <si>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</si>
  <si>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</si>
  <si>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</si>
  <si>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</si>
  <si>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</si>
  <si>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</si>
  <si>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</si>
  <si>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</si>
  <si>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</si>
  <si>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</si>
  <si>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</si>
  <si>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</si>
  <si>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</si>
  <si>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</si>
  <si>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</si>
  <si>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</si>
  <si>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</si>
  <si>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</si>
  <si>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</si>
  <si>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</si>
  <si>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</si>
  <si>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</si>
  <si>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</si>
  <si>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</si>
  <si>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</si>
  <si>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</si>
  <si>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</si>
  <si>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</si>
  <si>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</si>
  <si>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</si>
  <si>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</si>
  <si>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</si>
  <si>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</si>
  <si>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</si>
  <si>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</si>
  <si>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</si>
  <si>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</si>
  <si>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</si>
  <si>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</si>
  <si>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</si>
  <si>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</si>
  <si>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</si>
  <si>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</si>
  <si>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</si>
  <si>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</si>
  <si>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</si>
  <si>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</si>
  <si>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</si>
  <si>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</si>
  <si>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</si>
  <si>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</si>
  <si>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</si>
  <si>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</si>
  <si>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</si>
  <si>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</si>
  <si>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</si>
  <si>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</si>
  <si>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</si>
  <si>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</si>
  <si>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</si>
  <si>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</si>
  <si>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</si>
  <si>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</si>
  <si>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</si>
  <si>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</si>
  <si>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</si>
  <si>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</si>
  <si>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</si>
  <si>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</si>
  <si>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</si>
  <si>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</si>
  <si>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</si>
  <si>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</si>
  <si>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</si>
  <si>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</si>
  <si>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</si>
  <si>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</si>
  <si>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</si>
  <si>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</si>
  <si>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</si>
  <si>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</si>
  <si>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</si>
  <si>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</si>
  <si>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</si>
  <si>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</si>
  <si>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</si>
  <si>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</si>
  <si>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</si>
  <si>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</si>
  <si>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</si>
  <si>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</si>
  <si>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</si>
  <si>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</si>
  <si>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</si>
  <si>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</si>
  <si>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</si>
  <si>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</si>
  <si>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</si>
  <si>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</si>
  <si>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</si>
  <si>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</si>
  <si>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</si>
  <si>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</si>
  <si>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</si>
  <si>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</si>
  <si>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</si>
  <si>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</si>
  <si>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</si>
  <si>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</si>
  <si>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</si>
  <si>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</si>
  <si>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</si>
  <si>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</si>
  <si>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</si>
  <si>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</si>
  <si>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</si>
  <si>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</si>
  <si>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</si>
  <si>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</si>
  <si>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</si>
  <si>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</si>
  <si>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</si>
  <si>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</si>
  <si>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</si>
  <si>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</si>
  <si>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</si>
  <si>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</si>
  <si>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</si>
  <si>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</si>
  <si>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</si>
  <si>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</si>
  <si>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</si>
  <si>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</si>
  <si>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</si>
  <si>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</si>
  <si>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</si>
  <si>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</si>
  <si>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</si>
  <si>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</si>
  <si>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</si>
  <si>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</si>
  <si>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</si>
  <si>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</si>
  <si>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</si>
  <si>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</si>
  <si>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</si>
  <si>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</si>
  <si>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</si>
  <si>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</si>
  <si>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</si>
  <si>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</si>
  <si>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</si>
  <si>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</si>
  <si>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</si>
  <si>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</si>
  <si>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</si>
  <si>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</si>
  <si>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</si>
  <si>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</si>
  <si>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</si>
  <si>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</si>
  <si>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</si>
  <si>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</si>
  <si>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</si>
  <si>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</si>
  <si>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</si>
  <si>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</si>
  <si>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</si>
  <si>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</si>
  <si>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</si>
  <si>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</si>
  <si>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</si>
  <si>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</si>
  <si>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</si>
  <si>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</si>
  <si>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</si>
  <si>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</si>
  <si>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</si>
  <si>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</si>
  <si>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</si>
  <si>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</si>
  <si>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</si>
  <si>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</si>
  <si>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</si>
  <si>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</si>
  <si>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</si>
  <si>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</si>
  <si>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</si>
  <si>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</si>
  <si>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</si>
  <si>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</si>
  <si>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</si>
  <si>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</si>
  <si>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</si>
  <si>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</si>
  <si>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</si>
  <si>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</si>
  <si>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</si>
  <si>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</si>
  <si>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</si>
  <si>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</si>
  <si>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</si>
  <si>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</si>
  <si>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</si>
  <si>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</si>
  <si>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</si>
  <si>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</si>
  <si>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</si>
  <si>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</si>
  <si>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</si>
  <si>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</si>
  <si>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</si>
  <si>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</si>
  <si>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</si>
  <si>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</si>
  <si>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</si>
  <si>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</si>
  <si>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</si>
  <si>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</si>
  <si>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</si>
  <si>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</si>
  <si>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</si>
  <si>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</si>
  <si>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</si>
  <si>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</si>
  <si>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</si>
  <si>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</si>
  <si>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</si>
  <si>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</si>
  <si>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</si>
  <si>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</si>
  <si>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</si>
  <si>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</si>
  <si>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</si>
  <si>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</si>
  <si>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</si>
  <si>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</si>
  <si>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</si>
  <si>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</si>
  <si>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</si>
  <si>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</si>
  <si>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</si>
  <si>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</si>
  <si>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</si>
  <si>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</si>
  <si>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</si>
  <si>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</si>
  <si>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</si>
  <si>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</si>
  <si>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</si>
  <si>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</si>
  <si>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</si>
  <si>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</si>
  <si>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</si>
  <si>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</si>
  <si>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</si>
  <si>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</si>
  <si>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</si>
  <si>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</si>
  <si>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</si>
  <si>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</si>
  <si>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</si>
  <si>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</si>
  <si>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</si>
  <si>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</si>
  <si>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</si>
  <si>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</si>
  <si>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</si>
  <si>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</si>
  <si>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</si>
  <si>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</si>
  <si>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</si>
  <si>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</si>
  <si>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</si>
  <si>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</si>
  <si>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</si>
  <si>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</si>
  <si>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</si>
  <si>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</si>
  <si>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</si>
  <si>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</si>
  <si>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</si>
  <si>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</si>
  <si>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</si>
  <si>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</si>
  <si>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</si>
  <si>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</si>
  <si>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</si>
  <si>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</si>
  <si>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</si>
  <si>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</si>
  <si>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</si>
  <si>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</si>
  <si>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</si>
  <si>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</si>
  <si>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</si>
  <si>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</si>
  <si>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</si>
  <si>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</si>
  <si>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</si>
  <si>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</si>
  <si>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</si>
  <si>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</si>
  <si>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</si>
  <si>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</si>
  <si>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</si>
  <si>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</si>
  <si>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</si>
  <si>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</si>
  <si>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</si>
  <si>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</si>
  <si>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</si>
  <si>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</si>
  <si>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</si>
  <si>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</si>
  <si>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</si>
  <si>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</si>
  <si>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</si>
  <si>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</si>
  <si>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</si>
  <si>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</si>
  <si>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</si>
  <si>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</si>
  <si>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</si>
  <si>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</si>
  <si>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</si>
  <si>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</si>
  <si>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</si>
  <si>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</si>
  <si>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</si>
  <si>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</si>
  <si>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</si>
  <si>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</si>
  <si>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</si>
  <si>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</si>
  <si>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</si>
  <si>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</si>
  <si>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</si>
  <si>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</si>
  <si>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</si>
  <si>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</si>
  <si>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</si>
  <si>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</si>
  <si>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</si>
  <si>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</si>
  <si>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</si>
  <si>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</si>
  <si>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</si>
  <si>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</si>
  <si>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</si>
  <si>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</si>
  <si>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</si>
  <si>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</si>
  <si>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</si>
  <si>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</si>
  <si>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</si>
  <si>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</si>
  <si>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</si>
  <si>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</si>
  <si>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</si>
  <si>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</si>
  <si>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</si>
  <si>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</si>
  <si>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</si>
  <si>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</si>
  <si>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</si>
  <si>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</si>
  <si>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</si>
  <si>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</si>
  <si>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</si>
  <si>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</si>
  <si>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</si>
  <si>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</si>
  <si>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</si>
  <si>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</si>
  <si>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</si>
  <si>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</si>
  <si>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</si>
  <si>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</si>
  <si>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</si>
  <si>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</si>
  <si>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</si>
  <si>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</si>
  <si>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</si>
  <si>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</si>
  <si>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</si>
  <si>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</si>
  <si>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</si>
  <si>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</si>
  <si>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</si>
  <si>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</si>
  <si>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</si>
  <si>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</si>
  <si>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</si>
  <si>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</si>
  <si>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</si>
  <si>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</si>
  <si>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</si>
  <si>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</si>
  <si>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</si>
  <si>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</si>
  <si>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</si>
  <si>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</si>
  <si>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</si>
  <si>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</si>
  <si>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</si>
  <si>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</si>
  <si>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</si>
  <si>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</si>
  <si>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</si>
  <si>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</si>
  <si>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</si>
  <si>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</si>
  <si>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</si>
  <si>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</si>
  <si>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</si>
  <si>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</si>
  <si>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</si>
  <si>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</si>
  <si>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</si>
  <si>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</si>
  <si>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</si>
  <si>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</si>
  <si>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</si>
  <si>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</si>
  <si>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</si>
  <si>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</si>
  <si>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</si>
  <si>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</si>
  <si>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</si>
  <si>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</si>
  <si>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</si>
  <si>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</si>
  <si>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</si>
  <si>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</si>
  <si>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</si>
  <si>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</si>
  <si>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</si>
  <si>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</si>
  <si>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</si>
  <si>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</si>
  <si>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</si>
  <si>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</si>
  <si>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</si>
  <si>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</si>
  <si>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</si>
  <si>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</si>
  <si>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</si>
  <si>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</si>
  <si>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</si>
  <si>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</si>
  <si>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</si>
  <si>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</si>
  <si>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</si>
  <si>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</si>
  <si>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</si>
  <si>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</si>
  <si>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</si>
  <si>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</si>
  <si>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</si>
  <si>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</si>
  <si>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</si>
  <si>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</si>
  <si>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</si>
  <si>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</si>
  <si>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</si>
  <si>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</si>
  <si>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</si>
  <si>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</si>
  <si>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</si>
  <si>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</si>
  <si>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</si>
  <si>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</si>
  <si>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</si>
  <si>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</si>
  <si>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</si>
  <si>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</si>
  <si>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</si>
  <si>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</si>
  <si>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</si>
  <si>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</si>
  <si>
    <t>Age_clean</t>
  </si>
  <si>
    <t>We</t>
  </si>
  <si>
    <t>E</t>
  </si>
  <si>
    <t>AGGREGATE FUNCTIONS</t>
  </si>
  <si>
    <t>LOGICAL FUNCTIONS</t>
  </si>
  <si>
    <t>LOOKUP FUNCTIONS</t>
  </si>
  <si>
    <t>TOTAL COUNT OF THE PASSENGERS</t>
  </si>
  <si>
    <t>TO CHECK THE SURVIVAL STATUS</t>
  </si>
  <si>
    <t>GET NAME OF THE PASSENGER BY ID(XLOOKUP)</t>
  </si>
  <si>
    <t>Class Name</t>
  </si>
  <si>
    <t>1st Class</t>
  </si>
  <si>
    <t>MALE PROPORTION</t>
  </si>
  <si>
    <t>2nd Class</t>
  </si>
  <si>
    <t>CHECK MISSING AGE OR CABIN</t>
  </si>
  <si>
    <t>PASSENGER CLASS (VLOOKUP)</t>
  </si>
  <si>
    <t>3rd Class</t>
  </si>
  <si>
    <t>FEMALE PROPORTION</t>
  </si>
  <si>
    <t>PASSENGER CLASS CATEGORY</t>
  </si>
  <si>
    <t>SURVIVAL STATUS (HLOOKUP)</t>
  </si>
  <si>
    <t>Not Survived</t>
  </si>
  <si>
    <t>AVERAGE SURVIVAL RATE</t>
  </si>
  <si>
    <t>TOTAL MALE PASSENGERS</t>
  </si>
  <si>
    <t>SUM OF FARE</t>
  </si>
  <si>
    <t>TO FIND ID BY NAME(INDEX &amp; MATCH)</t>
  </si>
  <si>
    <t>TOTAL FEMALE PASSENGERS</t>
  </si>
  <si>
    <t>AVERAGE TICKET FARE</t>
  </si>
  <si>
    <t>SURVIVORS</t>
  </si>
  <si>
    <t>HIGHEST TICKET FARE</t>
  </si>
  <si>
    <t>AVERAGE AGE</t>
  </si>
  <si>
    <t>Survival analysis</t>
  </si>
  <si>
    <t>Total passengers</t>
  </si>
  <si>
    <t>Survivors</t>
  </si>
  <si>
    <t>Survival rate</t>
  </si>
  <si>
    <t>Average age</t>
  </si>
  <si>
    <t>Male passengers</t>
  </si>
  <si>
    <t>Female passengers</t>
  </si>
  <si>
    <t>Male proportion</t>
  </si>
  <si>
    <t>Female proportion</t>
  </si>
  <si>
    <t>SURVIVAL BY GENDER</t>
  </si>
  <si>
    <t>Count of PassengerId</t>
  </si>
  <si>
    <t>Grand Total</t>
  </si>
  <si>
    <t>SURVIVAL BY PASSENGER CLASS</t>
  </si>
  <si>
    <t>SURVIVAL BY EMBARKED PORT</t>
  </si>
  <si>
    <t>(blank)</t>
  </si>
  <si>
    <t>AGE GROUP VS SURVIVAL</t>
  </si>
  <si>
    <t>SURVIVAL BY SEX &amp; PASSENGER CLASS</t>
  </si>
  <si>
    <t>FAMILY SIZE &amp; SURVIVAL</t>
  </si>
  <si>
    <t>EMBARKED VS SEX</t>
  </si>
  <si>
    <t>TITANIC DATA ANALYSIS DASHBOARD</t>
  </si>
  <si>
    <t xml:space="preserve">  TOTAL PASSENGERS</t>
  </si>
  <si>
    <t xml:space="preserve">  SURVIVORS</t>
  </si>
  <si>
    <t xml:space="preserve">   SURVIVAL RATE</t>
  </si>
  <si>
    <t>MALE PASSENGERS</t>
  </si>
  <si>
    <t>FEMALE PASSENGERS</t>
  </si>
  <si>
    <t xml:space="preserve">  PERISHED</t>
  </si>
  <si>
    <t>KEY INSIGHTS:</t>
  </si>
  <si>
    <t>Total passengers: 891</t>
  </si>
  <si>
    <t>Total survivors: 342</t>
  </si>
  <si>
    <t>Total perished: 549</t>
  </si>
  <si>
    <t>Overall survival rate: 38.38%</t>
  </si>
  <si>
    <t>Female passengers had a higher survival rate than male passengers</t>
  </si>
  <si>
    <t>First-class passengers had better survival outcome than third-class passengers</t>
  </si>
  <si>
    <t xml:space="preserve">First-class females had the highest survival rate, while third-class males had one of the lowest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</si>
</sst>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_);[Red]\(0\)"/>
    <numFmt numFmtId="181" formatCode="[$$-409]#,##0.00_);[Red]\([$$-409]#,##0.00\)"/>
    <numFmt numFmtId="182" formatCode="_-[$$-409]* #,##0.00_ ;_-[$$-409]* \-#,##0.00\ ;_-[$$-409]* &quot;-&quot;??_ ;_-@_ "/>
    <numFmt numFmtId="183" formatCode="0.00_);[Red]\(0.00\)"/>
  </numFmts>
  <fonts count="33">
    <font>
      <sz val="10"/>
      <color rgb="FF000000"/>
      <name val="Arial"/>
      <charset val="134"/>
      <scheme val="minor"/>
    </font>
    <font>
      <sz val="10"/>
      <color rgb="FF000000"/>
      <name val="Calibri"/>
      <charset val="134"/>
    </font>
    <font>
      <b/>
      <sz val="22"/>
      <color theme="2"/>
      <name val="Calisto MT"/>
      <charset val="134"/>
    </font>
    <font>
      <b/>
      <sz val="16"/>
      <color rgb="FF000000"/>
      <name val="Calibri"/>
      <charset val="134"/>
    </font>
    <font>
      <b/>
      <sz val="16"/>
      <color theme="1"/>
      <name val="Calibri"/>
      <charset val="134"/>
    </font>
    <font>
      <b/>
      <sz val="20"/>
      <color rgb="FF000000"/>
      <name val="Calisto MT"/>
      <charset val="134"/>
    </font>
    <font>
      <sz val="14"/>
      <color rgb="FF000000"/>
      <name val="Calibri"/>
      <charset val="134"/>
    </font>
    <font>
      <b/>
      <sz val="12"/>
      <color theme="2"/>
      <name val="Adobe Devanagari"/>
      <charset val="134"/>
    </font>
    <font>
      <sz val="16"/>
      <color theme="2"/>
      <name val="Bungee Inline"/>
      <charset val="134"/>
    </font>
    <font>
      <b/>
      <sz val="10"/>
      <color rgb="FF000000"/>
      <name val="Arial"/>
      <charset val="134"/>
      <scheme val="minor"/>
    </font>
    <font>
      <sz val="12"/>
      <color theme="1"/>
      <name val="Calibri"/>
      <charset val="134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 tint="-0.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9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0" borderId="8" applyNumberFormat="0" applyAlignment="0" applyProtection="0">
      <alignment vertical="center"/>
    </xf>
    <xf numFmtId="0" fontId="23" fillId="11" borderId="9" applyNumberFormat="0" applyAlignment="0" applyProtection="0">
      <alignment vertical="center"/>
    </xf>
    <xf numFmtId="0" fontId="24" fillId="11" borderId="8" applyNumberFormat="0" applyAlignment="0" applyProtection="0">
      <alignment vertical="center"/>
    </xf>
    <xf numFmtId="0" fontId="25" fillId="12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</cellStyleXfs>
  <cellXfs count="48">
    <xf numFmtId="0" fontId="0" fillId="0" borderId="0" xfId="0" applyFont="1" applyAlignment="1"/>
    <xf numFmtId="0" fontId="1" fillId="0" borderId="0" xfId="0" applyFont="1" applyAlignment="1"/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3" borderId="1" xfId="0" applyFont="1" applyFill="1" applyBorder="1" applyAlignment="1"/>
    <xf numFmtId="0" fontId="4" fillId="3" borderId="1" xfId="0" applyFont="1" applyFill="1" applyBorder="1" applyAlignment="1"/>
    <xf numFmtId="0" fontId="3" fillId="3" borderId="2" xfId="0" applyFont="1" applyFill="1" applyBorder="1" applyAlignment="1">
      <alignment horizontal="center"/>
    </xf>
    <xf numFmtId="10" fontId="3" fillId="3" borderId="2" xfId="0" applyNumberFormat="1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5" fillId="5" borderId="0" xfId="0" applyFont="1" applyFill="1" applyAlignment="1">
      <alignment horizontal="left"/>
    </xf>
    <xf numFmtId="0" fontId="1" fillId="5" borderId="0" xfId="0" applyFont="1" applyFill="1" applyAlignment="1"/>
    <xf numFmtId="0" fontId="1" fillId="5" borderId="0" xfId="0" applyFont="1" applyFill="1" applyAlignment="1">
      <alignment horizontal="center"/>
    </xf>
    <xf numFmtId="0" fontId="6" fillId="5" borderId="0" xfId="0" applyFont="1" applyFill="1" applyAlignment="1"/>
    <xf numFmtId="0" fontId="7" fillId="6" borderId="0" xfId="0" applyFont="1" applyFill="1" applyAlignment="1">
      <alignment horizontal="center" vertical="center"/>
    </xf>
    <xf numFmtId="1" fontId="0" fillId="0" borderId="0" xfId="0" applyNumberFormat="1" applyFont="1" applyAlignment="1"/>
    <xf numFmtId="0" fontId="0" fillId="0" borderId="0" xfId="0" applyFont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9" fillId="0" borderId="0" xfId="0" applyFont="1" applyAlignment="1">
      <alignment horizontal="center" wrapText="1"/>
    </xf>
    <xf numFmtId="0" fontId="10" fillId="5" borderId="0" xfId="0" applyFont="1" applyFill="1" applyAlignment="1">
      <alignment horizontal="center" vertical="center"/>
    </xf>
    <xf numFmtId="180" fontId="10" fillId="5" borderId="0" xfId="0" applyNumberFormat="1" applyFont="1" applyFill="1" applyAlignment="1">
      <alignment horizontal="center" vertical="center"/>
    </xf>
    <xf numFmtId="0" fontId="10" fillId="5" borderId="0" xfId="3" applyNumberFormat="1" applyFont="1" applyFill="1" applyAlignment="1">
      <alignment horizontal="center" vertical="center"/>
    </xf>
    <xf numFmtId="0" fontId="0" fillId="0" borderId="0" xfId="0" applyAlignment="1">
      <alignment horizontal="center" wrapText="1"/>
    </xf>
    <xf numFmtId="180" fontId="10" fillId="5" borderId="0" xfId="0" applyNumberFormat="1" applyFont="1" applyFill="1" applyAlignment="1">
      <alignment horizontal="center"/>
    </xf>
    <xf numFmtId="0" fontId="10" fillId="5" borderId="0" xfId="3" applyNumberFormat="1" applyFont="1" applyFill="1" applyAlignment="1">
      <alignment horizontal="center"/>
    </xf>
    <xf numFmtId="9" fontId="10" fillId="5" borderId="0" xfId="3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0" fontId="0" fillId="0" borderId="0" xfId="0" applyAlignment="1">
      <alignment wrapText="1"/>
    </xf>
    <xf numFmtId="9" fontId="10" fillId="5" borderId="0" xfId="3" applyFont="1" applyFill="1" applyAlignment="1">
      <alignment horizontal="center" vertical="center"/>
    </xf>
    <xf numFmtId="181" fontId="10" fillId="5" borderId="0" xfId="0" applyNumberFormat="1" applyFont="1" applyFill="1" applyAlignment="1">
      <alignment horizontal="center"/>
    </xf>
    <xf numFmtId="0" fontId="11" fillId="7" borderId="0" xfId="0" applyFont="1" applyFill="1" applyAlignment="1">
      <alignment horizontal="center"/>
    </xf>
    <xf numFmtId="0" fontId="0" fillId="0" borderId="3" xfId="0" applyFont="1" applyBorder="1" applyAlignment="1"/>
    <xf numFmtId="10" fontId="0" fillId="0" borderId="3" xfId="0" applyNumberFormat="1" applyFont="1" applyBorder="1" applyAlignment="1"/>
    <xf numFmtId="0" fontId="0" fillId="0" borderId="0" xfId="0" applyFont="1" applyAlignment="1">
      <alignment horizontal="left"/>
    </xf>
    <xf numFmtId="182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vertical="center"/>
    </xf>
    <xf numFmtId="1" fontId="0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182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 vertical="center"/>
    </xf>
    <xf numFmtId="1" fontId="12" fillId="0" borderId="0" xfId="0" applyNumberFormat="1" applyFont="1" applyAlignment="1">
      <alignment horizontal="center"/>
    </xf>
    <xf numFmtId="0" fontId="0" fillId="0" borderId="0" xfId="0" applyNumberFormat="1" applyFont="1" applyAlignment="1">
      <alignment horizontal="center"/>
    </xf>
    <xf numFmtId="183" fontId="0" fillId="0" borderId="0" xfId="0" applyNumberFormat="1" applyFont="1" applyAlignment="1">
      <alignment horizontal="center"/>
    </xf>
    <xf numFmtId="0" fontId="12" fillId="8" borderId="4" xfId="0" applyFont="1" applyFill="1" applyBorder="1" applyAlignment="1">
      <alignment horizontal="left"/>
    </xf>
    <xf numFmtId="0" fontId="12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21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theme="1"/>
      </font>
      <alignment horizontal="center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theme="1"/>
      </font>
      <alignment horizontal="center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theme="1"/>
      </font>
      <alignment horizontal="center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theme="1"/>
      </font>
      <alignment horizontal="left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theme="1"/>
      </font>
      <alignment horizontal="left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theme="1"/>
      </font>
      <alignment horizontal="center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theme="1"/>
      </font>
      <alignment horizontal="center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theme="1"/>
      </font>
      <alignment horizontal="center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theme="1"/>
      </font>
      <alignment horizontal="left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theme="1"/>
      </font>
      <numFmt numFmtId="182" formatCode="_-[$$-409]* #,##0.00_ ;_-[$$-409]* \-#,##0.00\ ;_-[$$-409]* &quot;-&quot;??_ ;_-@_ "/>
      <alignment horizontal="center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alignment horizontal="center" vertical="center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theme="1"/>
      </font>
      <alignment horizontal="center"/>
    </dxf>
    <dxf>
      <numFmt numFmtId="1" formatCode="0"/>
      <alignment horizontal="center"/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0"/>
      <tableStyleElement type="headerRow" dxfId="109"/>
      <tableStyleElement type="totalRow" dxfId="108"/>
      <tableStyleElement type="firstColumn" dxfId="107"/>
      <tableStyleElement type="lastColumn" dxfId="106"/>
      <tableStyleElement type="firstRowStripe" dxfId="105"/>
      <tableStyleElement type="firstColumnStripe" dxfId="104"/>
    </tableStyle>
    <tableStyle name="PivotStylePreset2_Accent1" table="0" count="10" xr9:uid="{267968C8-6FFD-4C36-ACC1-9EA1FD1885CA}">
      <tableStyleElement type="headerRow" dxfId="120"/>
      <tableStyleElement type="totalRow" dxfId="119"/>
      <tableStyleElement type="firstRowStripe" dxfId="118"/>
      <tableStyleElement type="firstColumnStripe" dxfId="117"/>
      <tableStyleElement type="firstSubtotalRow" dxfId="116"/>
      <tableStyleElement type="secondSubtotalRow" dxfId="115"/>
      <tableStyleElement type="firstRowSubheading" dxfId="114"/>
      <tableStyleElement type="secondRowSubheading" dxfId="113"/>
      <tableStyleElement type="pageFieldLabels" dxfId="112"/>
      <tableStyleElement type="pageFieldValues" dxfId="111"/>
    </tableStyle>
  </tableStyles>
  <colors>
    <mruColors>
      <color rgb="008CB5F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3.xml"/><Relationship Id="rId8" Type="http://schemas.microsoft.com/office/2007/relationships/slicerCache" Target="slicerCaches/slicerCache2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eetMetadata" Target="metadata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microsoft.com/office/2007/relationships/slicerCache" Target="slicerCaches/slicerCache4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[Titanic.xlsx]PivotTable!PivotTable2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PivotTable!$B$3:$B$4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PivotTable!$B$5:$B$7</c:f>
              <c:numCache>
                <c:formatCode>General</c:formatCode>
                <c:ptCount val="2"/>
                <c:pt idx="0">
                  <c:v>81</c:v>
                </c:pt>
                <c:pt idx="1">
                  <c:v>468</c:v>
                </c:pt>
              </c:numCache>
            </c:numRef>
          </c:val>
        </c:ser>
        <c:ser>
          <c:idx val="1"/>
          <c:order val="1"/>
          <c:tx>
            <c:strRef>
              <c:f>PivotTable!$C$3:$C$4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PivotTable!$C$5:$C$7</c:f>
              <c:numCache>
                <c:formatCode>General</c:formatCode>
                <c:ptCount val="2"/>
                <c:pt idx="0">
                  <c:v>233</c:v>
                </c:pt>
                <c:pt idx="1">
                  <c:v>109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219"/>
        <c:overlap val="-27"/>
        <c:axId val="568180946"/>
        <c:axId val="709392801"/>
      </c:barChart>
      <c:catAx>
        <c:axId val="56818094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9392801"/>
        <c:crosses val="autoZero"/>
        <c:auto val="1"/>
        <c:lblAlgn val="ctr"/>
        <c:lblOffset val="100"/>
        <c:noMultiLvlLbl val="0"/>
      </c:catAx>
      <c:valAx>
        <c:axId val="70939280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818094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022c166-a2e3-4c9e-bfcb-7bf87aa77ce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[Titanic.xlsx]PivotTable!PivotTable4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PivotTable!$B$23:$B$24</c:f>
              <c:strCache>
                <c:ptCount val="1"/>
                <c:pt idx="0">
                  <c:v>0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PivotTable!$A$25:$A$28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PivotTable!$B$25:$B$28</c:f>
              <c:numCache>
                <c:formatCode>General</c:formatCode>
                <c:ptCount val="3"/>
                <c:pt idx="0">
                  <c:v>80</c:v>
                </c:pt>
                <c:pt idx="1">
                  <c:v>97</c:v>
                </c:pt>
                <c:pt idx="2">
                  <c:v>372</c:v>
                </c:pt>
              </c:numCache>
            </c:numRef>
          </c:val>
        </c:ser>
        <c:ser>
          <c:idx val="1"/>
          <c:order val="1"/>
          <c:tx>
            <c:strRef>
              <c:f>PivotTable!$C$23:$C$24</c:f>
              <c:strCache>
                <c:ptCount val="1"/>
                <c:pt idx="0">
                  <c:v>1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Lbls>
            <c:delete val="1"/>
          </c:dLbls>
          <c:cat>
            <c:strRef>
              <c:f>PivotTable!$A$25:$A$28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PivotTable!$C$25:$C$28</c:f>
              <c:numCache>
                <c:formatCode>General</c:formatCode>
                <c:ptCount val="3"/>
                <c:pt idx="0">
                  <c:v>136</c:v>
                </c:pt>
                <c:pt idx="1">
                  <c:v>87</c:v>
                </c:pt>
                <c:pt idx="2">
                  <c:v>119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8e2bbba-7da6-443c-a280-1f4b6700e3a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[Titanic.xlsx]PivotTable!PivotTable5</c:name>
    <c:fmtId val="0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PivotTable!$B$43:$B$44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PivotTable!$A$45:$A$49</c:f>
              <c:strCache>
                <c:ptCount val="4"/>
                <c:pt idx="0">
                  <c:v>C</c:v>
                </c:pt>
                <c:pt idx="1">
                  <c:v>Q</c:v>
                </c:pt>
                <c:pt idx="2">
                  <c:v>S</c:v>
                </c:pt>
                <c:pt idx="3">
                  <c:v>(blank)</c:v>
                </c:pt>
              </c:strCache>
            </c:strRef>
          </c:cat>
          <c:val>
            <c:numRef>
              <c:f>PivotTable!$B$45:$B$49</c:f>
              <c:numCache>
                <c:formatCode>General</c:formatCode>
                <c:ptCount val="4"/>
                <c:pt idx="0">
                  <c:v>75</c:v>
                </c:pt>
                <c:pt idx="1">
                  <c:v>47</c:v>
                </c:pt>
                <c:pt idx="2">
                  <c:v>427</c:v>
                </c:pt>
              </c:numCache>
            </c:numRef>
          </c:val>
        </c:ser>
        <c:ser>
          <c:idx val="1"/>
          <c:order val="1"/>
          <c:tx>
            <c:strRef>
              <c:f>PivotTable!$C$43:$C$44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PivotTable!$A$45:$A$49</c:f>
              <c:strCache>
                <c:ptCount val="4"/>
                <c:pt idx="0">
                  <c:v>C</c:v>
                </c:pt>
                <c:pt idx="1">
                  <c:v>Q</c:v>
                </c:pt>
                <c:pt idx="2">
                  <c:v>S</c:v>
                </c:pt>
                <c:pt idx="3">
                  <c:v>(blank)</c:v>
                </c:pt>
              </c:strCache>
            </c:strRef>
          </c:cat>
          <c:val>
            <c:numRef>
              <c:f>PivotTable!$C$45:$C$49</c:f>
              <c:numCache>
                <c:formatCode>General</c:formatCode>
                <c:ptCount val="4"/>
                <c:pt idx="0">
                  <c:v>93</c:v>
                </c:pt>
                <c:pt idx="1">
                  <c:v>30</c:v>
                </c:pt>
                <c:pt idx="2">
                  <c:v>217</c:v>
                </c:pt>
                <c:pt idx="3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219"/>
        <c:overlap val="-27"/>
        <c:axId val="967723515"/>
        <c:axId val="884035568"/>
      </c:barChart>
      <c:catAx>
        <c:axId val="96772351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4035568"/>
        <c:crosses val="autoZero"/>
        <c:auto val="1"/>
        <c:lblAlgn val="ctr"/>
        <c:lblOffset val="100"/>
        <c:noMultiLvlLbl val="0"/>
      </c:catAx>
      <c:valAx>
        <c:axId val="88403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77235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cec3b86-cfd8-4406-9d4d-66af0f768d0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[Titanic.xlsx]PivotTable!PivotTable6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PivotTable!$B$62:$B$63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PivotTable!$A$64:$A$67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PivotTable!$B$64:$B$67</c:f>
              <c:numCache>
                <c:formatCode>General</c:formatCode>
                <c:ptCount val="3"/>
                <c:pt idx="0">
                  <c:v>94</c:v>
                </c:pt>
                <c:pt idx="1">
                  <c:v>76</c:v>
                </c:pt>
                <c:pt idx="2">
                  <c:v>144</c:v>
                </c:pt>
              </c:numCache>
            </c:numRef>
          </c:val>
        </c:ser>
        <c:ser>
          <c:idx val="1"/>
          <c:order val="1"/>
          <c:tx>
            <c:strRef>
              <c:f>PivotTable!$C$62:$C$63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PivotTable!$A$64:$A$67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PivotTable!$C$64:$C$67</c:f>
              <c:numCache>
                <c:formatCode>General</c:formatCode>
                <c:ptCount val="3"/>
                <c:pt idx="0">
                  <c:v>122</c:v>
                </c:pt>
                <c:pt idx="1">
                  <c:v>108</c:v>
                </c:pt>
                <c:pt idx="2">
                  <c:v>347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219"/>
        <c:overlap val="-27"/>
        <c:axId val="366265531"/>
        <c:axId val="705505940"/>
      </c:barChart>
      <c:catAx>
        <c:axId val="3662655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5505940"/>
        <c:crosses val="autoZero"/>
        <c:auto val="1"/>
        <c:lblAlgn val="ctr"/>
        <c:lblOffset val="100"/>
        <c:noMultiLvlLbl val="0"/>
      </c:catAx>
      <c:valAx>
        <c:axId val="7055059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62655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5e758f4-12c7-4746-85fc-1e9bc6908db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[Titanic.xlsx]PivotTable!PivotTable7</c:name>
    <c:fmtId val="0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PivotTable!$C$80:$C$81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PivotTable!$A$82:$B$91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1</c:v>
                  </c:pt>
                  <c:pt idx="2">
                    <c:v>2</c:v>
                  </c:pt>
                  <c:pt idx="4">
                    <c:v>3</c:v>
                  </c:pt>
                </c:lvl>
              </c:multiLvlStrCache>
            </c:multiLvlStrRef>
          </c:cat>
          <c:val>
            <c:numRef>
              <c:f>PivotTable!$C$82:$C$91</c:f>
              <c:numCache>
                <c:formatCode>General</c:formatCode>
                <c:ptCount val="6"/>
                <c:pt idx="0">
                  <c:v>3</c:v>
                </c:pt>
                <c:pt idx="1">
                  <c:v>77</c:v>
                </c:pt>
                <c:pt idx="2">
                  <c:v>6</c:v>
                </c:pt>
                <c:pt idx="3">
                  <c:v>91</c:v>
                </c:pt>
                <c:pt idx="4">
                  <c:v>72</c:v>
                </c:pt>
                <c:pt idx="5">
                  <c:v>300</c:v>
                </c:pt>
              </c:numCache>
            </c:numRef>
          </c:val>
        </c:ser>
        <c:ser>
          <c:idx val="1"/>
          <c:order val="1"/>
          <c:tx>
            <c:strRef>
              <c:f>PivotTable!$D$80:$D$81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PivotTable!$A$82:$B$91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1</c:v>
                  </c:pt>
                  <c:pt idx="2">
                    <c:v>2</c:v>
                  </c:pt>
                  <c:pt idx="4">
                    <c:v>3</c:v>
                  </c:pt>
                </c:lvl>
              </c:multiLvlStrCache>
            </c:multiLvlStrRef>
          </c:cat>
          <c:val>
            <c:numRef>
              <c:f>PivotTable!$D$82:$D$91</c:f>
              <c:numCache>
                <c:formatCode>General</c:formatCode>
                <c:ptCount val="6"/>
                <c:pt idx="0">
                  <c:v>91</c:v>
                </c:pt>
                <c:pt idx="1">
                  <c:v>45</c:v>
                </c:pt>
                <c:pt idx="2">
                  <c:v>70</c:v>
                </c:pt>
                <c:pt idx="3">
                  <c:v>17</c:v>
                </c:pt>
                <c:pt idx="4">
                  <c:v>72</c:v>
                </c:pt>
                <c:pt idx="5">
                  <c:v>47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219"/>
        <c:overlap val="-27"/>
        <c:axId val="509299667"/>
        <c:axId val="52609767"/>
      </c:barChart>
      <c:catAx>
        <c:axId val="50929966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609767"/>
        <c:crosses val="autoZero"/>
        <c:auto val="1"/>
        <c:lblAlgn val="ctr"/>
        <c:lblOffset val="100"/>
        <c:noMultiLvlLbl val="0"/>
      </c:catAx>
      <c:valAx>
        <c:axId val="52609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92996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14bfca6-25dd-46e1-8d50-6686a2fb6a0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[Titanic.xlsx]PivotTable!PivotTable4</c:name>
    <c:fmtId val="6"/>
  </c:pivotSource>
  <c:chart>
    <c:autoTitleDeleted val="1"/>
    <c:plotArea>
      <c:layout/>
      <c:doughnutChart>
        <c:varyColors val="1"/>
        <c:ser>
          <c:idx val="0"/>
          <c:order val="0"/>
          <c:tx>
            <c:strRef>
              <c:f>PivotTable!$B$23:$B$24</c:f>
              <c:strCache>
                <c:ptCount val="1"/>
                <c:pt idx="0">
                  <c:v>0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6">
                      <a:tint val="65000"/>
                      <a:lumMod val="40000"/>
                      <a:lumOff val="60000"/>
                    </a:schemeClr>
                  </a:gs>
                  <a:gs pos="90000">
                    <a:schemeClr val="accent6">
                      <a:tint val="65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tint val="65000"/>
                      </a:schemeClr>
                    </a:gs>
                    <a:gs pos="100000">
                      <a:schemeClr val="accent6">
                        <a:tint val="65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6">
                      <a:shade val="65000"/>
                      <a:lumMod val="40000"/>
                      <a:lumOff val="60000"/>
                    </a:schemeClr>
                  </a:gs>
                  <a:gs pos="90000">
                    <a:schemeClr val="accent6">
                      <a:shade val="65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shade val="65000"/>
                      </a:schemeClr>
                    </a:gs>
                    <a:gs pos="100000">
                      <a:schemeClr val="accent6">
                        <a:shade val="65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PivotTable!$A$25:$A$28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PivotTable!$B$25:$B$28</c:f>
              <c:numCache>
                <c:formatCode>General</c:formatCode>
                <c:ptCount val="3"/>
                <c:pt idx="0">
                  <c:v>80</c:v>
                </c:pt>
                <c:pt idx="1">
                  <c:v>97</c:v>
                </c:pt>
                <c:pt idx="2">
                  <c:v>372</c:v>
                </c:pt>
              </c:numCache>
            </c:numRef>
          </c:val>
        </c:ser>
        <c:ser>
          <c:idx val="1"/>
          <c:order val="1"/>
          <c:tx>
            <c:strRef>
              <c:f>PivotTable!$C$23:$C$24</c:f>
              <c:strCache>
                <c:ptCount val="1"/>
                <c:pt idx="0">
                  <c:v>1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6">
                      <a:tint val="65000"/>
                      <a:lumMod val="40000"/>
                      <a:lumOff val="60000"/>
                    </a:schemeClr>
                  </a:gs>
                  <a:gs pos="90000">
                    <a:schemeClr val="accent6">
                      <a:tint val="65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tint val="65000"/>
                      </a:schemeClr>
                    </a:gs>
                    <a:gs pos="100000">
                      <a:schemeClr val="accent6">
                        <a:tint val="65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6">
                      <a:shade val="65000"/>
                      <a:lumMod val="40000"/>
                      <a:lumOff val="60000"/>
                    </a:schemeClr>
                  </a:gs>
                  <a:gs pos="90000">
                    <a:schemeClr val="accent6">
                      <a:shade val="65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shade val="65000"/>
                      </a:schemeClr>
                    </a:gs>
                    <a:gs pos="100000">
                      <a:schemeClr val="accent6">
                        <a:shade val="65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PivotTable!$A$25:$A$28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PivotTable!$C$25:$C$28</c:f>
              <c:numCache>
                <c:formatCode>General</c:formatCode>
                <c:ptCount val="3"/>
                <c:pt idx="0">
                  <c:v>136</c:v>
                </c:pt>
                <c:pt idx="1">
                  <c:v>87</c:v>
                </c:pt>
                <c:pt idx="2">
                  <c:v>119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8decdb5-37de-4c13-a1eb-dd5b0e1a011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[Titanic.xlsx]PivotTable!PivotTable2</c:name>
    <c:fmtId val="2"/>
  </c:pivotSource>
  <c:chart>
    <c:autoTitleDeleted val="1"/>
    <c:plotArea>
      <c:layout>
        <c:manualLayout>
          <c:layoutTarget val="inner"/>
          <c:xMode val="edge"/>
          <c:yMode val="edge"/>
          <c:x val="0.0366881507188894"/>
          <c:y val="0.256395839190329"/>
          <c:w val="0.844620723847298"/>
          <c:h val="0.5654765251616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PivotTable!$B$3:$B$4</c:f>
              <c:strCache>
                <c:ptCount val="1"/>
                <c:pt idx="0">
                  <c:v>0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PivotTable!$B$5:$B$7</c:f>
              <c:numCache>
                <c:formatCode>General</c:formatCode>
                <c:ptCount val="2"/>
                <c:pt idx="0">
                  <c:v>81</c:v>
                </c:pt>
                <c:pt idx="1">
                  <c:v>468</c:v>
                </c:pt>
              </c:numCache>
            </c:numRef>
          </c:val>
        </c:ser>
        <c:ser>
          <c:idx val="1"/>
          <c:order val="1"/>
          <c:tx>
            <c:strRef>
              <c:f>PivotTable!$C$3:$C$4</c:f>
              <c:strCache>
                <c:ptCount val="1"/>
                <c:pt idx="0">
                  <c:v>1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PivotTable!$C$5:$C$7</c:f>
              <c:numCache>
                <c:formatCode>General</c:formatCode>
                <c:ptCount val="2"/>
                <c:pt idx="0">
                  <c:v>233</c:v>
                </c:pt>
                <c:pt idx="1">
                  <c:v>109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568180946"/>
        <c:axId val="709392801"/>
      </c:barChart>
      <c:catAx>
        <c:axId val="56818094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9392801"/>
        <c:crosses val="autoZero"/>
        <c:auto val="1"/>
        <c:lblAlgn val="ctr"/>
        <c:lblOffset val="100"/>
        <c:noMultiLvlLbl val="0"/>
      </c:catAx>
      <c:valAx>
        <c:axId val="70939280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818094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022c166-a2e3-4c9e-bfcb-7bf87aa77ce5}"/>
      </c:ext>
    </c:extLst>
  </c:chart>
  <c:spPr>
    <a:solidFill>
      <a:schemeClr val="bg1">
        <a:alpha val="59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[Titanic.xlsx]PivotTable!PivotTable4</c:name>
    <c:fmtId val="2"/>
  </c:pivotSource>
  <c:chart>
    <c:autoTitleDeleted val="1"/>
    <c:plotArea>
      <c:layout/>
      <c:pieChart>
        <c:varyColors val="1"/>
        <c:ser>
          <c:idx val="0"/>
          <c:order val="0"/>
          <c:tx>
            <c:strRef>
              <c:f>PivotTable!$B$23:$B$24</c:f>
              <c:strCache>
                <c:ptCount val="1"/>
                <c:pt idx="0">
                  <c:v>0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PivotTable!$A$25:$A$28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PivotTable!$B$25:$B$28</c:f>
              <c:numCache>
                <c:formatCode>General</c:formatCode>
                <c:ptCount val="3"/>
                <c:pt idx="0">
                  <c:v>80</c:v>
                </c:pt>
                <c:pt idx="1">
                  <c:v>97</c:v>
                </c:pt>
                <c:pt idx="2">
                  <c:v>372</c:v>
                </c:pt>
              </c:numCache>
            </c:numRef>
          </c:val>
        </c:ser>
        <c:ser>
          <c:idx val="1"/>
          <c:order val="1"/>
          <c:tx>
            <c:strRef>
              <c:f>PivotTable!$C$23:$C$24</c:f>
              <c:strCache>
                <c:ptCount val="1"/>
                <c:pt idx="0">
                  <c:v>1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PivotTable!$A$25:$A$28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PivotTable!$C$25:$C$28</c:f>
              <c:numCache>
                <c:formatCode>General</c:formatCode>
                <c:ptCount val="3"/>
                <c:pt idx="0">
                  <c:v>136</c:v>
                </c:pt>
                <c:pt idx="1">
                  <c:v>87</c:v>
                </c:pt>
                <c:pt idx="2">
                  <c:v>119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8e2bbba-7da6-443c-a280-1f4b6700e3a3}"/>
      </c:ext>
    </c:extLst>
  </c:chart>
  <c:spPr>
    <a:solidFill>
      <a:schemeClr val="bg1">
        <a:alpha val="59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[Titanic.xlsx]PivotTable!PivotTable7</c:name>
    <c:fmtId val="2"/>
  </c:pivotSource>
  <c:chart>
    <c:autoTitleDeleted val="1"/>
    <c:plotArea>
      <c:layout>
        <c:manualLayout>
          <c:layoutTarget val="inner"/>
          <c:xMode val="edge"/>
          <c:yMode val="edge"/>
          <c:x val="0.230415297281147"/>
          <c:y val="0.173417998686227"/>
          <c:w val="0.632446967433522"/>
          <c:h val="0.74740529888329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PivotTable!$C$80:$C$81</c:f>
              <c:strCache>
                <c:ptCount val="1"/>
                <c:pt idx="0">
                  <c:v>0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  <a:alpha val="91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effectLst>
                      <a:reflection blurRad="6350" stA="60000" endA="900" endPos="58000" dir="5400000" sy="-100000" algn="bl" rotWithShape="0"/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PivotTable!$A$82:$B$91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1</c:v>
                  </c:pt>
                  <c:pt idx="2">
                    <c:v>2</c:v>
                  </c:pt>
                  <c:pt idx="4">
                    <c:v>3</c:v>
                  </c:pt>
                </c:lvl>
              </c:multiLvlStrCache>
            </c:multiLvlStrRef>
          </c:cat>
          <c:val>
            <c:numRef>
              <c:f>PivotTable!$C$82:$C$91</c:f>
              <c:numCache>
                <c:formatCode>General</c:formatCode>
                <c:ptCount val="6"/>
                <c:pt idx="0">
                  <c:v>3</c:v>
                </c:pt>
                <c:pt idx="1">
                  <c:v>77</c:v>
                </c:pt>
                <c:pt idx="2">
                  <c:v>6</c:v>
                </c:pt>
                <c:pt idx="3">
                  <c:v>91</c:v>
                </c:pt>
                <c:pt idx="4">
                  <c:v>72</c:v>
                </c:pt>
                <c:pt idx="5">
                  <c:v>300</c:v>
                </c:pt>
              </c:numCache>
            </c:numRef>
          </c:val>
        </c:ser>
        <c:ser>
          <c:idx val="1"/>
          <c:order val="1"/>
          <c:tx>
            <c:strRef>
              <c:f>PivotTable!$D$80:$D$81</c:f>
              <c:strCache>
                <c:ptCount val="1"/>
                <c:pt idx="0">
                  <c:v>1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  <a:alpha val="91000"/>
                  </a:schemeClr>
                </a:gs>
                <a:gs pos="90000">
                  <a:schemeClr val="accent2"/>
                </a:gs>
              </a:gsLst>
              <a:lin ang="108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effectLst>
                      <a:reflection blurRad="6350" stA="60000" endA="900" endPos="58000" dir="5400000" sy="-100000" algn="bl" rotWithShape="0"/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PivotTable!$A$82:$B$91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1</c:v>
                  </c:pt>
                  <c:pt idx="2">
                    <c:v>2</c:v>
                  </c:pt>
                  <c:pt idx="4">
                    <c:v>3</c:v>
                  </c:pt>
                </c:lvl>
              </c:multiLvlStrCache>
            </c:multiLvlStrRef>
          </c:cat>
          <c:val>
            <c:numRef>
              <c:f>PivotTable!$D$82:$D$91</c:f>
              <c:numCache>
                <c:formatCode>General</c:formatCode>
                <c:ptCount val="6"/>
                <c:pt idx="0">
                  <c:v>91</c:v>
                </c:pt>
                <c:pt idx="1">
                  <c:v>45</c:v>
                </c:pt>
                <c:pt idx="2">
                  <c:v>70</c:v>
                </c:pt>
                <c:pt idx="3">
                  <c:v>17</c:v>
                </c:pt>
                <c:pt idx="4">
                  <c:v>72</c:v>
                </c:pt>
                <c:pt idx="5">
                  <c:v>47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509299667"/>
        <c:axId val="52609767"/>
      </c:barChart>
      <c:catAx>
        <c:axId val="509299667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reflection blurRad="6350" stA="60000" endA="900" endPos="58000" dir="5400000" sy="-100000" algn="bl" rotWithShape="0"/>
                </a:effectLst>
                <a:latin typeface="+mn-lt"/>
                <a:ea typeface="+mn-ea"/>
                <a:cs typeface="+mn-cs"/>
              </a:defRPr>
            </a:pPr>
          </a:p>
        </c:txPr>
        <c:crossAx val="52609767"/>
        <c:crosses val="autoZero"/>
        <c:auto val="1"/>
        <c:lblAlgn val="ctr"/>
        <c:lblOffset val="100"/>
        <c:noMultiLvlLbl val="0"/>
      </c:catAx>
      <c:valAx>
        <c:axId val="52609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reflection blurRad="6350" stA="60000" endA="900" endPos="58000" dir="5400000" sy="-100000" algn="bl" rotWithShape="0"/>
                </a:effectLst>
                <a:latin typeface="+mn-lt"/>
                <a:ea typeface="+mn-ea"/>
                <a:cs typeface="+mn-cs"/>
              </a:defRPr>
            </a:pPr>
          </a:p>
        </c:txPr>
        <c:crossAx val="5092996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reflection blurRad="6350" stA="60000" endA="900" endPos="58000" dir="5400000" sy="-100000" algn="bl" rotWithShape="0"/>
                </a:effectLst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effectLst>
                <a:reflection blurRad="6350" stA="60000" endA="900" endPos="58000" dir="5400000" sy="-100000" algn="bl" rotWithShape="0"/>
              </a:effectLst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8440777-793c-4925-8765-339924c07613}"/>
      </c:ext>
    </c:extLst>
  </c:chart>
  <c:spPr>
    <a:solidFill>
      <a:schemeClr val="bg1">
        <a:alpha val="59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effectLst>
            <a:reflection blurRad="6350" stA="60000" endA="900" endPos="58000" dir="5400000" sy="-100000" algn="bl" rotWithShape="0"/>
          </a:effectLst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[Titanic.xlsx]PivotTable!PivotTable4</c:name>
    <c:fmtId val="8"/>
  </c:pivotSource>
  <c:chart>
    <c:autoTitleDeleted val="1"/>
    <c:plotArea>
      <c:layout/>
      <c:doughnutChart>
        <c:varyColors val="1"/>
        <c:ser>
          <c:idx val="0"/>
          <c:order val="0"/>
          <c:tx>
            <c:strRef>
              <c:f>PivotTable!$B$23:$B$24</c:f>
              <c:strCache>
                <c:ptCount val="1"/>
                <c:pt idx="0">
                  <c:v>0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shade val="65000"/>
                      <a:lumMod val="40000"/>
                      <a:lumOff val="60000"/>
                    </a:schemeClr>
                  </a:gs>
                  <a:gs pos="90000">
                    <a:schemeClr val="accent1">
                      <a:shade val="65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shade val="65000"/>
                      </a:schemeClr>
                    </a:gs>
                    <a:gs pos="100000">
                      <a:schemeClr val="accent1">
                        <a:shade val="65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1">
                      <a:tint val="65000"/>
                      <a:lumMod val="40000"/>
                      <a:lumOff val="60000"/>
                    </a:schemeClr>
                  </a:gs>
                  <a:gs pos="90000">
                    <a:schemeClr val="accent1">
                      <a:tint val="65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tint val="65000"/>
                      </a:schemeClr>
                    </a:gs>
                    <a:gs pos="100000">
                      <a:schemeClr val="accent1">
                        <a:tint val="65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PivotTable!$A$25:$A$28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PivotTable!$B$25:$B$28</c:f>
              <c:numCache>
                <c:formatCode>General</c:formatCode>
                <c:ptCount val="3"/>
                <c:pt idx="0">
                  <c:v>80</c:v>
                </c:pt>
                <c:pt idx="1">
                  <c:v>97</c:v>
                </c:pt>
                <c:pt idx="2">
                  <c:v>372</c:v>
                </c:pt>
              </c:numCache>
            </c:numRef>
          </c:val>
        </c:ser>
        <c:ser>
          <c:idx val="1"/>
          <c:order val="1"/>
          <c:tx>
            <c:strRef>
              <c:f>PivotTable!$C$23:$C$24</c:f>
              <c:strCache>
                <c:ptCount val="1"/>
                <c:pt idx="0">
                  <c:v>1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shade val="65000"/>
                      <a:lumMod val="40000"/>
                      <a:lumOff val="60000"/>
                    </a:schemeClr>
                  </a:gs>
                  <a:gs pos="90000">
                    <a:schemeClr val="accent1">
                      <a:shade val="65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shade val="65000"/>
                      </a:schemeClr>
                    </a:gs>
                    <a:gs pos="100000">
                      <a:schemeClr val="accent1">
                        <a:shade val="65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1">
                      <a:tint val="65000"/>
                      <a:lumMod val="40000"/>
                      <a:lumOff val="60000"/>
                    </a:schemeClr>
                  </a:gs>
                  <a:gs pos="90000">
                    <a:schemeClr val="accent1">
                      <a:tint val="65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tint val="65000"/>
                      </a:schemeClr>
                    </a:gs>
                    <a:gs pos="100000">
                      <a:schemeClr val="accent1">
                        <a:tint val="65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PivotTable!$A$25:$A$28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PivotTable!$C$25:$C$28</c:f>
              <c:numCache>
                <c:formatCode>General</c:formatCode>
                <c:ptCount val="3"/>
                <c:pt idx="0">
                  <c:v>136</c:v>
                </c:pt>
                <c:pt idx="1">
                  <c:v>87</c:v>
                </c:pt>
                <c:pt idx="2">
                  <c:v>119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9f11f38-6c92-4061-8ad7-fed2b39b9db6}"/>
      </c:ext>
    </c:extLst>
  </c:chart>
  <c:spPr>
    <a:solidFill>
      <a:schemeClr val="bg1">
        <a:alpha val="59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8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  <a:alpha val="91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1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5.png"/><Relationship Id="rId8" Type="http://schemas.openxmlformats.org/officeDocument/2006/relationships/image" Target="../media/image4.png"/><Relationship Id="rId7" Type="http://schemas.openxmlformats.org/officeDocument/2006/relationships/image" Target="../media/image3.png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2" Type="http://schemas.openxmlformats.org/officeDocument/2006/relationships/image" Target="../media/image8.png"/><Relationship Id="rId11" Type="http://schemas.openxmlformats.org/officeDocument/2006/relationships/image" Target="../media/image7.png"/><Relationship Id="rId10" Type="http://schemas.openxmlformats.org/officeDocument/2006/relationships/image" Target="../media/image6.png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130175</xdr:colOff>
      <xdr:row>1</xdr:row>
      <xdr:rowOff>92075</xdr:rowOff>
    </xdr:from>
    <xdr:to>
      <xdr:col>13</xdr:col>
      <xdr:colOff>377190</xdr:colOff>
      <xdr:row>13</xdr:row>
      <xdr:rowOff>112395</xdr:rowOff>
    </xdr:to>
    <xdr:graphicFrame>
      <xdr:nvGraphicFramePr>
        <xdr:cNvPr id="2" name="Chart 1"/>
        <xdr:cNvGraphicFramePr/>
      </xdr:nvGraphicFramePr>
      <xdr:xfrm>
        <a:off x="5092700" y="254000"/>
        <a:ext cx="4514215" cy="2039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195580</xdr:colOff>
      <xdr:row>18</xdr:row>
      <xdr:rowOff>53340</xdr:rowOff>
    </xdr:from>
    <xdr:to>
      <xdr:col>12</xdr:col>
      <xdr:colOff>472440</xdr:colOff>
      <xdr:row>32</xdr:row>
      <xdr:rowOff>123190</xdr:rowOff>
    </xdr:to>
    <xdr:graphicFrame>
      <xdr:nvGraphicFramePr>
        <xdr:cNvPr id="3" name="Chart 2"/>
        <xdr:cNvGraphicFramePr/>
      </xdr:nvGraphicFramePr>
      <xdr:xfrm>
        <a:off x="4548505" y="3044190"/>
        <a:ext cx="4544060" cy="2413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703580</xdr:colOff>
      <xdr:row>36</xdr:row>
      <xdr:rowOff>64135</xdr:rowOff>
    </xdr:from>
    <xdr:to>
      <xdr:col>12</xdr:col>
      <xdr:colOff>60960</xdr:colOff>
      <xdr:row>49</xdr:row>
      <xdr:rowOff>86995</xdr:rowOff>
    </xdr:to>
    <xdr:graphicFrame>
      <xdr:nvGraphicFramePr>
        <xdr:cNvPr id="4" name="Chart 3"/>
        <xdr:cNvGraphicFramePr/>
      </xdr:nvGraphicFramePr>
      <xdr:xfrm>
        <a:off x="4304030" y="6045835"/>
        <a:ext cx="4377055" cy="22040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516255</xdr:colOff>
      <xdr:row>57</xdr:row>
      <xdr:rowOff>136525</xdr:rowOff>
    </xdr:from>
    <xdr:to>
      <xdr:col>13</xdr:col>
      <xdr:colOff>465455</xdr:colOff>
      <xdr:row>74</xdr:row>
      <xdr:rowOff>127000</xdr:rowOff>
    </xdr:to>
    <xdr:graphicFrame>
      <xdr:nvGraphicFramePr>
        <xdr:cNvPr id="5" name="Chart 4"/>
        <xdr:cNvGraphicFramePr/>
      </xdr:nvGraphicFramePr>
      <xdr:xfrm>
        <a:off x="4869180" y="9594850"/>
        <a:ext cx="4826000" cy="2819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483870</xdr:colOff>
      <xdr:row>78</xdr:row>
      <xdr:rowOff>129540</xdr:rowOff>
    </xdr:from>
    <xdr:to>
      <xdr:col>14</xdr:col>
      <xdr:colOff>433070</xdr:colOff>
      <xdr:row>95</xdr:row>
      <xdr:rowOff>120015</xdr:rowOff>
    </xdr:to>
    <xdr:graphicFrame>
      <xdr:nvGraphicFramePr>
        <xdr:cNvPr id="7" name="Chart 6"/>
        <xdr:cNvGraphicFramePr/>
      </xdr:nvGraphicFramePr>
      <xdr:xfrm>
        <a:off x="5446395" y="13064490"/>
        <a:ext cx="4826000" cy="2895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396875</xdr:colOff>
      <xdr:row>35</xdr:row>
      <xdr:rowOff>104140</xdr:rowOff>
    </xdr:from>
    <xdr:to>
      <xdr:col>21</xdr:col>
      <xdr:colOff>346075</xdr:colOff>
      <xdr:row>52</xdr:row>
      <xdr:rowOff>94615</xdr:rowOff>
    </xdr:to>
    <xdr:graphicFrame>
      <xdr:nvGraphicFramePr>
        <xdr:cNvPr id="10" name="Chart 9"/>
        <xdr:cNvGraphicFramePr/>
      </xdr:nvGraphicFramePr>
      <xdr:xfrm>
        <a:off x="9626600" y="5923915"/>
        <a:ext cx="4826000" cy="2819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107315</xdr:colOff>
      <xdr:row>8</xdr:row>
      <xdr:rowOff>125095</xdr:rowOff>
    </xdr:from>
    <xdr:to>
      <xdr:col>7</xdr:col>
      <xdr:colOff>1548765</xdr:colOff>
      <xdr:row>22</xdr:row>
      <xdr:rowOff>116840</xdr:rowOff>
    </xdr:to>
    <xdr:graphicFrame>
      <xdr:nvGraphicFramePr>
        <xdr:cNvPr id="2" name="Chart 1"/>
        <xdr:cNvGraphicFramePr/>
      </xdr:nvGraphicFramePr>
      <xdr:xfrm>
        <a:off x="1497965" y="1630045"/>
        <a:ext cx="6403975" cy="22586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1706880</xdr:colOff>
      <xdr:row>8</xdr:row>
      <xdr:rowOff>148590</xdr:rowOff>
    </xdr:from>
    <xdr:to>
      <xdr:col>11</xdr:col>
      <xdr:colOff>2449830</xdr:colOff>
      <xdr:row>22</xdr:row>
      <xdr:rowOff>86995</xdr:rowOff>
    </xdr:to>
    <xdr:graphicFrame>
      <xdr:nvGraphicFramePr>
        <xdr:cNvPr id="3" name="Chart 2"/>
        <xdr:cNvGraphicFramePr/>
      </xdr:nvGraphicFramePr>
      <xdr:xfrm>
        <a:off x="8060055" y="1653540"/>
        <a:ext cx="6076950" cy="22053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123825</xdr:colOff>
      <xdr:row>23</xdr:row>
      <xdr:rowOff>88265</xdr:rowOff>
    </xdr:from>
    <xdr:to>
      <xdr:col>7</xdr:col>
      <xdr:colOff>1537335</xdr:colOff>
      <xdr:row>41</xdr:row>
      <xdr:rowOff>73660</xdr:rowOff>
    </xdr:to>
    <xdr:graphicFrame>
      <xdr:nvGraphicFramePr>
        <xdr:cNvPr id="4" name="Chart 3"/>
        <xdr:cNvGraphicFramePr/>
      </xdr:nvGraphicFramePr>
      <xdr:xfrm>
        <a:off x="1514475" y="4022090"/>
        <a:ext cx="6376035" cy="2900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140970</xdr:colOff>
      <xdr:row>16</xdr:row>
      <xdr:rowOff>104775</xdr:rowOff>
    </xdr:from>
    <xdr:to>
      <xdr:col>13</xdr:col>
      <xdr:colOff>1435735</xdr:colOff>
      <xdr:row>22</xdr:row>
      <xdr:rowOff>64135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Survive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rvive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09420" y="2905125"/>
              <a:ext cx="1904365" cy="9309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99060</xdr:colOff>
      <xdr:row>33</xdr:row>
      <xdr:rowOff>113030</xdr:rowOff>
    </xdr:from>
    <xdr:to>
      <xdr:col>13</xdr:col>
      <xdr:colOff>1440815</xdr:colOff>
      <xdr:row>41</xdr:row>
      <xdr:rowOff>45720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Pclas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clas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367510" y="5666105"/>
              <a:ext cx="1951355" cy="12280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153670</xdr:colOff>
      <xdr:row>9</xdr:row>
      <xdr:rowOff>106045</xdr:rowOff>
    </xdr:from>
    <xdr:to>
      <xdr:col>13</xdr:col>
      <xdr:colOff>1431290</xdr:colOff>
      <xdr:row>15</xdr:row>
      <xdr:rowOff>40640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Sex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x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22120" y="1772920"/>
              <a:ext cx="1887220" cy="9061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7</xdr:col>
      <xdr:colOff>1717675</xdr:colOff>
      <xdr:row>23</xdr:row>
      <xdr:rowOff>103505</xdr:rowOff>
    </xdr:from>
    <xdr:to>
      <xdr:col>11</xdr:col>
      <xdr:colOff>2454910</xdr:colOff>
      <xdr:row>41</xdr:row>
      <xdr:rowOff>67310</xdr:rowOff>
    </xdr:to>
    <xdr:graphicFrame>
      <xdr:nvGraphicFramePr>
        <xdr:cNvPr id="5" name="Chart 4"/>
        <xdr:cNvGraphicFramePr/>
      </xdr:nvGraphicFramePr>
      <xdr:xfrm>
        <a:off x="8070850" y="4037330"/>
        <a:ext cx="6071235" cy="28784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12</xdr:col>
      <xdr:colOff>110490</xdr:colOff>
      <xdr:row>23</xdr:row>
      <xdr:rowOff>147320</xdr:rowOff>
    </xdr:from>
    <xdr:to>
      <xdr:col>13</xdr:col>
      <xdr:colOff>1442085</xdr:colOff>
      <xdr:row>32</xdr:row>
      <xdr:rowOff>121285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5" name="Embarke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barke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378940" y="4081145"/>
              <a:ext cx="1941195" cy="14312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776605</xdr:colOff>
      <xdr:row>5</xdr:row>
      <xdr:rowOff>241935</xdr:rowOff>
    </xdr:from>
    <xdr:to>
      <xdr:col>11</xdr:col>
      <xdr:colOff>1080135</xdr:colOff>
      <xdr:row>7</xdr:row>
      <xdr:rowOff>12700</xdr:rowOff>
    </xdr:to>
    <xdr:pic>
      <xdr:nvPicPr>
        <xdr:cNvPr id="18" name="Picture 1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463780" y="1051560"/>
          <a:ext cx="303530" cy="3041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666750</xdr:colOff>
      <xdr:row>5</xdr:row>
      <xdr:rowOff>223520</xdr:rowOff>
    </xdr:from>
    <xdr:to>
      <xdr:col>9</xdr:col>
      <xdr:colOff>975995</xdr:colOff>
      <xdr:row>7</xdr:row>
      <xdr:rowOff>2540</xdr:rowOff>
    </xdr:to>
    <xdr:pic>
      <xdr:nvPicPr>
        <xdr:cNvPr id="24" name="Picture 2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448800" y="1033145"/>
          <a:ext cx="309245" cy="312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264160</xdr:colOff>
      <xdr:row>5</xdr:row>
      <xdr:rowOff>241935</xdr:rowOff>
    </xdr:from>
    <xdr:to>
      <xdr:col>7</xdr:col>
      <xdr:colOff>566420</xdr:colOff>
      <xdr:row>7</xdr:row>
      <xdr:rowOff>11430</xdr:rowOff>
    </xdr:to>
    <xdr:pic>
      <xdr:nvPicPr>
        <xdr:cNvPr id="27" name="Picture 2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617335" y="1051560"/>
          <a:ext cx="302260" cy="3028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206375</xdr:colOff>
      <xdr:row>6</xdr:row>
      <xdr:rowOff>25400</xdr:rowOff>
    </xdr:from>
    <xdr:to>
      <xdr:col>5</xdr:col>
      <xdr:colOff>447675</xdr:colOff>
      <xdr:row>6</xdr:row>
      <xdr:rowOff>264160</xdr:rowOff>
    </xdr:to>
    <xdr:pic>
      <xdr:nvPicPr>
        <xdr:cNvPr id="29" name="Picture 2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616450" y="1101725"/>
          <a:ext cx="241300" cy="238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594995</xdr:colOff>
      <xdr:row>5</xdr:row>
      <xdr:rowOff>167640</xdr:rowOff>
    </xdr:from>
    <xdr:to>
      <xdr:col>3</xdr:col>
      <xdr:colOff>988060</xdr:colOff>
      <xdr:row>7</xdr:row>
      <xdr:rowOff>48260</xdr:rowOff>
    </xdr:to>
    <xdr:pic>
      <xdr:nvPicPr>
        <xdr:cNvPr id="30" name="Picture 2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985645" y="977265"/>
          <a:ext cx="393065" cy="414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524510</xdr:colOff>
      <xdr:row>0</xdr:row>
      <xdr:rowOff>9525</xdr:rowOff>
    </xdr:from>
    <xdr:to>
      <xdr:col>6</xdr:col>
      <xdr:colOff>443865</xdr:colOff>
      <xdr:row>4</xdr:row>
      <xdr:rowOff>100965</xdr:rowOff>
    </xdr:to>
    <xdr:pic>
      <xdr:nvPicPr>
        <xdr:cNvPr id="34" name="Picture 3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934585" y="9525"/>
          <a:ext cx="1252855" cy="739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299085</xdr:colOff>
      <xdr:row>5</xdr:row>
      <xdr:rowOff>249555</xdr:rowOff>
    </xdr:from>
    <xdr:to>
      <xdr:col>13</xdr:col>
      <xdr:colOff>589280</xdr:colOff>
      <xdr:row>7</xdr:row>
      <xdr:rowOff>12065</xdr:rowOff>
    </xdr:to>
    <xdr:pic>
      <xdr:nvPicPr>
        <xdr:cNvPr id="35" name="Picture 3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 flipH="1">
          <a:off x="15177135" y="1059180"/>
          <a:ext cx="290195" cy="29591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7</xdr:col>
      <xdr:colOff>1704975</xdr:colOff>
      <xdr:row>8</xdr:row>
      <xdr:rowOff>153670</xdr:rowOff>
    </xdr:from>
    <xdr:ext cx="6082665" cy="322580"/>
    <xdr:sp>
      <xdr:nvSpPr>
        <xdr:cNvPr id="7" name="Text Box 6"/>
        <xdr:cNvSpPr txBox="1"/>
      </xdr:nvSpPr>
      <xdr:spPr>
        <a:xfrm>
          <a:off x="8058150" y="1658620"/>
          <a:ext cx="6082665" cy="32258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 anchorCtr="0"/>
        <a:p>
          <a:pPr algn="ctr"/>
          <a:r>
            <a:rPr lang="en-IN" altLang="en-US" sz="1800" b="1">
              <a:solidFill>
                <a:schemeClr val="bg2"/>
              </a:solidFill>
              <a:latin typeface="Adobe Devanagari" panose="02040503050201020203" charset="0"/>
              <a:cs typeface="Adobe Devanagari" panose="02040503050201020203" charset="0"/>
            </a:rPr>
            <a:t>SURVIVAL BY PASSENGER CLASS</a:t>
          </a:r>
          <a:endParaRPr lang="en-IN" altLang="en-US" sz="1800" b="1">
            <a:solidFill>
              <a:schemeClr val="bg2"/>
            </a:solidFill>
            <a:latin typeface="Adobe Devanagari" panose="02040503050201020203" charset="0"/>
            <a:cs typeface="Adobe Devanagari" panose="02040503050201020203" charset="0"/>
          </a:endParaRPr>
        </a:p>
      </xdr:txBody>
    </xdr:sp>
    <xdr:clientData/>
  </xdr:oneCellAnchor>
  <xdr:oneCellAnchor>
    <xdr:from>
      <xdr:col>3</xdr:col>
      <xdr:colOff>114300</xdr:colOff>
      <xdr:row>8</xdr:row>
      <xdr:rowOff>133985</xdr:rowOff>
    </xdr:from>
    <xdr:ext cx="6399530" cy="333375"/>
    <xdr:sp>
      <xdr:nvSpPr>
        <xdr:cNvPr id="8" name="Text Box 7"/>
        <xdr:cNvSpPr txBox="1"/>
      </xdr:nvSpPr>
      <xdr:spPr>
        <a:xfrm>
          <a:off x="1504950" y="1638935"/>
          <a:ext cx="6399530" cy="333375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 anchorCtr="0"/>
        <a:p>
          <a:pPr algn="ctr"/>
          <a:r>
            <a:rPr lang="en-IN" altLang="en-US" sz="1800" b="1">
              <a:solidFill>
                <a:schemeClr val="bg2"/>
              </a:solidFill>
              <a:latin typeface="Adobe Devanagari" panose="02040503050201020203" charset="0"/>
              <a:cs typeface="Adobe Devanagari" panose="02040503050201020203" charset="0"/>
            </a:rPr>
            <a:t>SURVIVAL BY</a:t>
          </a:r>
          <a:r>
            <a:rPr lang="en-IN" altLang="en-US" sz="1800">
              <a:solidFill>
                <a:schemeClr val="bg2"/>
              </a:solidFill>
              <a:latin typeface="Adobe Devanagari" panose="02040503050201020203" charset="0"/>
              <a:cs typeface="Adobe Devanagari" panose="02040503050201020203" charset="0"/>
            </a:rPr>
            <a:t> </a:t>
          </a:r>
          <a:r>
            <a:rPr lang="en-IN" altLang="en-US" sz="1800" b="1">
              <a:solidFill>
                <a:schemeClr val="bg2"/>
              </a:solidFill>
              <a:latin typeface="Adobe Devanagari" panose="02040503050201020203" charset="0"/>
              <a:cs typeface="Adobe Devanagari" panose="02040503050201020203" charset="0"/>
            </a:rPr>
            <a:t>GENDER</a:t>
          </a:r>
          <a:endParaRPr lang="en-IN" altLang="en-US" sz="1100">
            <a:solidFill>
              <a:schemeClr val="bg2"/>
            </a:solidFill>
          </a:endParaRPr>
        </a:p>
      </xdr:txBody>
    </xdr:sp>
    <xdr:clientData/>
  </xdr:oneCellAnchor>
  <xdr:twoCellAnchor>
    <xdr:from>
      <xdr:col>3</xdr:col>
      <xdr:colOff>114300</xdr:colOff>
      <xdr:row>23</xdr:row>
      <xdr:rowOff>76200</xdr:rowOff>
    </xdr:from>
    <xdr:to>
      <xdr:col>7</xdr:col>
      <xdr:colOff>1533525</xdr:colOff>
      <xdr:row>25</xdr:row>
      <xdr:rowOff>104775</xdr:rowOff>
    </xdr:to>
    <xdr:sp>
      <xdr:nvSpPr>
        <xdr:cNvPr id="9" name="Text Box 8"/>
        <xdr:cNvSpPr txBox="1"/>
      </xdr:nvSpPr>
      <xdr:spPr>
        <a:xfrm>
          <a:off x="1504950" y="4010025"/>
          <a:ext cx="6381750" cy="352425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p>
          <a:pPr algn="ctr"/>
          <a:r>
            <a:rPr lang="en-IN" altLang="en-US" sz="1800" b="1">
              <a:solidFill>
                <a:schemeClr val="bg2"/>
              </a:solidFill>
              <a:latin typeface="Adobe Devanagari" panose="02040503050201020203" charset="0"/>
              <a:cs typeface="Adobe Devanagari" panose="02040503050201020203" charset="0"/>
            </a:rPr>
            <a:t>COMBINATION OF GENDER  &amp; PASSENGERS</a:t>
          </a:r>
          <a:r>
            <a:rPr lang="en-IN" altLang="en-US" sz="1800" b="1">
              <a:solidFill>
                <a:schemeClr val="bg2"/>
              </a:solidFill>
              <a:latin typeface="Calisto MT" panose="02040603050505030304" charset="0"/>
              <a:cs typeface="Calisto MT" panose="02040603050505030304" charset="0"/>
            </a:rPr>
            <a:t> </a:t>
          </a:r>
          <a:endParaRPr lang="en-IN" altLang="en-US" sz="1800" b="1">
            <a:solidFill>
              <a:schemeClr val="bg2"/>
            </a:solidFill>
            <a:latin typeface="Calisto MT" panose="02040603050505030304" charset="0"/>
            <a:cs typeface="Calisto MT" panose="02040603050505030304" charset="0"/>
          </a:endParaRPr>
        </a:p>
      </xdr:txBody>
    </xdr:sp>
    <xdr:clientData/>
  </xdr:twoCellAnchor>
  <xdr:twoCellAnchor>
    <xdr:from>
      <xdr:col>7</xdr:col>
      <xdr:colOff>1714500</xdr:colOff>
      <xdr:row>23</xdr:row>
      <xdr:rowOff>85725</xdr:rowOff>
    </xdr:from>
    <xdr:to>
      <xdr:col>11</xdr:col>
      <xdr:colOff>2447925</xdr:colOff>
      <xdr:row>25</xdr:row>
      <xdr:rowOff>95250</xdr:rowOff>
    </xdr:to>
    <xdr:sp>
      <xdr:nvSpPr>
        <xdr:cNvPr id="12" name="Text Box 11"/>
        <xdr:cNvSpPr txBox="1"/>
      </xdr:nvSpPr>
      <xdr:spPr>
        <a:xfrm>
          <a:off x="8067675" y="4019550"/>
          <a:ext cx="6067425" cy="333375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p>
          <a:pPr algn="ctr"/>
          <a:r>
            <a:rPr lang="en-IN" altLang="en-US" sz="1800" b="1">
              <a:solidFill>
                <a:schemeClr val="bg2"/>
              </a:solidFill>
              <a:latin typeface="Adobe Devanagari" panose="02040503050201020203" charset="0"/>
              <a:cs typeface="Adobe Devanagari" panose="02040503050201020203" charset="0"/>
            </a:rPr>
            <a:t>PERCENTAGE ACCORDING TO CLASS</a:t>
          </a:r>
          <a:endParaRPr lang="en-IN" altLang="en-US" sz="1800" b="1">
            <a:solidFill>
              <a:schemeClr val="bg2"/>
            </a:solidFill>
            <a:latin typeface="Adobe Devanagari" panose="02040503050201020203" charset="0"/>
            <a:cs typeface="Adobe Devanagari" panose="02040503050201020203" charset="0"/>
          </a:endParaRPr>
        </a:p>
      </xdr:txBody>
    </xdr:sp>
    <xdr:clientData/>
  </xdr:twoCellAnchor>
  <xdr:twoCellAnchor>
    <xdr:from>
      <xdr:col>12</xdr:col>
      <xdr:colOff>290830</xdr:colOff>
      <xdr:row>49</xdr:row>
      <xdr:rowOff>121285</xdr:rowOff>
    </xdr:from>
    <xdr:to>
      <xdr:col>13</xdr:col>
      <xdr:colOff>1567180</xdr:colOff>
      <xdr:row>52</xdr:row>
      <xdr:rowOff>130810</xdr:rowOff>
    </xdr:to>
    <xdr:sp>
      <xdr:nvSpPr>
        <xdr:cNvPr id="13" name="Text Box 12"/>
        <xdr:cNvSpPr txBox="1"/>
      </xdr:nvSpPr>
      <xdr:spPr>
        <a:xfrm>
          <a:off x="14559280" y="8808085"/>
          <a:ext cx="1885950" cy="6477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solidFill>
            <a:schemeClr val="accent1">
              <a:lumMod val="60000"/>
              <a:lumOff val="4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 anchorCtr="0">
          <a:noAutofit/>
        </a:bodyPr>
        <a:p>
          <a:pPr algn="r"/>
          <a:r>
            <a:rPr lang="en-IN" altLang="en-US" sz="1100">
              <a:solidFill>
                <a:schemeClr val="tx2"/>
              </a:solidFill>
              <a:latin typeface="Adobe Caslon Pro Bold" panose="0205070206050A020403" charset="0"/>
              <a:cs typeface="Adobe Caslon Pro Bold" panose="0205070206050A020403" charset="0"/>
            </a:rPr>
            <a:t>Created by</a:t>
          </a:r>
          <a:endParaRPr lang="en-IN" altLang="en-US" sz="1100">
            <a:solidFill>
              <a:schemeClr val="tx2"/>
            </a:solidFill>
            <a:latin typeface="Adobe Caslon Pro Bold" panose="0205070206050A020403" charset="0"/>
            <a:cs typeface="Adobe Caslon Pro Bold" panose="0205070206050A020403" charset="0"/>
          </a:endParaRPr>
        </a:p>
        <a:p>
          <a:pPr algn="r"/>
          <a:r>
            <a:rPr lang="en-IN" altLang="en-US" sz="1600">
              <a:solidFill>
                <a:schemeClr val="tx2"/>
              </a:solidFill>
              <a:latin typeface="Lemon" panose="02000000000000000000" charset="0"/>
              <a:cs typeface="Lemon" panose="02000000000000000000" charset="0"/>
            </a:rPr>
            <a:t> </a:t>
          </a:r>
          <a:r>
            <a:rPr lang="en-IN" altLang="en-US" sz="1400" i="1">
              <a:solidFill>
                <a:schemeClr val="tx2"/>
              </a:solidFill>
              <a:latin typeface="Ravie" panose="04040805050809020602" charset="0"/>
              <a:cs typeface="Ravie" panose="04040805050809020602" charset="0"/>
            </a:rPr>
            <a:t>PRABHAS</a:t>
          </a:r>
          <a:endParaRPr lang="en-IN" altLang="en-US" sz="1400" i="1">
            <a:solidFill>
              <a:schemeClr val="tx2"/>
            </a:solidFill>
            <a:latin typeface="Ravie" panose="04040805050809020602" charset="0"/>
            <a:cs typeface="Ravie" panose="04040805050809020602" charset="0"/>
          </a:endParaRPr>
        </a:p>
      </xdr:txBody>
    </xdr:sp>
    <xdr:clientData/>
  </xdr:twoCellAnchor>
  <xdr:twoCellAnchor editAs="oneCell">
    <xdr:from>
      <xdr:col>12</xdr:col>
      <xdr:colOff>335915</xdr:colOff>
      <xdr:row>49</xdr:row>
      <xdr:rowOff>174625</xdr:rowOff>
    </xdr:from>
    <xdr:to>
      <xdr:col>13</xdr:col>
      <xdr:colOff>294005</xdr:colOff>
      <xdr:row>52</xdr:row>
      <xdr:rowOff>95885</xdr:rowOff>
    </xdr:to>
    <xdr:pic>
      <xdr:nvPicPr>
        <xdr:cNvPr id="20" name="Picture 19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4604365" y="8861425"/>
          <a:ext cx="567690" cy="5594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64.8150925926" refreshedBy="prabhas" recordCount="891">
  <cacheSource type="worksheet">
    <worksheetSource name="Table1"/>
  </cacheSource>
  <cacheFields count="13">
    <cacheField name="PassengerId" numFmtId="0">
      <sharedItems containsSemiMixedTypes="0" containsString="0" containsNumber="1" containsInteger="1" minValue="1" maxValue="891" count="89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</sharedItems>
    </cacheField>
    <cacheField name="Survived" numFmtId="0">
      <sharedItems containsSemiMixedTypes="0" containsString="0" containsNumber="1" containsInteger="1" minValue="0" maxValue="1" count="2">
        <n v="0"/>
        <n v="1"/>
      </sharedItems>
    </cacheField>
    <cacheField name="Pclass" numFmtId="0">
      <sharedItems containsSemiMixedTypes="0" containsString="0" containsNumber="1" containsInteger="1" minValue="1" maxValue="3" count="3">
        <n v="3"/>
        <n v="1"/>
        <n v="2"/>
      </sharedItems>
    </cacheField>
    <cacheField name="Name" numFmtId="0">
      <sharedItems count="891">
        <s v="Braund, Mr. Owen Harris"/>
        <s v="Cumings, Mrs. John Bradley (Florence Briggs Thayer)"/>
        <s v="Heikkinen, Miss. Laina"/>
        <s v="Futrelle, Mrs. Jacques Heath (Lily May Peel)"/>
        <s v="Allen, Mr. William Henry"/>
        <s v="Moran, Mr. James"/>
        <s v="McCarthy, Mr. Timothy J"/>
        <s v="Palsson, Master. Gosta Leonard"/>
        <s v="Johnson, Mrs. Oscar W (Elisabeth Vilhelmina Berg)"/>
        <s v="Nasser, Mrs. Nicholas (Adele Achem)"/>
        <s v="Sandstrom, Miss. Marguerite Rut"/>
        <s v="Bonnell, Miss. Elizabeth"/>
        <s v="Saundercock, Mr. William Henry"/>
        <s v="Andersson, Mr. Anders Johan"/>
        <s v="Vestrom, Miss. Hulda Amanda Adolfina"/>
        <s v="Hewlett, Mrs. (Mary D Kingcome) "/>
        <s v="Rice, Master. Eugene"/>
        <s v="Williams, Mr. Charles Eugene"/>
        <s v="Vander Planke, Mrs. Julius (Emelia Maria Vandemoortele)"/>
        <s v="Masselmani, Mrs. Fatima"/>
        <s v="Fynney, Mr. Joseph J"/>
        <s v="Beesley, Mr. Lawrence"/>
        <s v="McGowan, Miss. Anna &quot;Annie&quot;"/>
        <s v="Sloper, Mr. William Thompson"/>
        <s v="Palsson, Miss. Torborg Danira"/>
        <s v="Asplund, Mrs. Carl Oscar (Selma Augusta Emilia Johansson)"/>
        <s v="Emir, Mr. Farred Chehab"/>
        <s v="Fortune, Mr. Charles Alexander"/>
        <s v="O'Dwyer, Miss. Ellen &quot;Nellie&quot;"/>
        <s v="Todoroff, Mr. Lalio"/>
        <s v="Uruchurtu, Don. Manuel E"/>
        <s v="Spencer, Mrs. William Augustus (Marie Eugenie)"/>
        <s v="Glynn, Miss. Mary Agatha"/>
        <s v="Wheadon, Mr. Edward H"/>
        <s v="Meyer, Mr. Edgar Joseph"/>
        <s v="Holverson, Mr. Alexander Oskar"/>
        <s v="Mamee, Mr. Hanna"/>
        <s v="Cann, Mr. Ernest Charles"/>
        <s v="Vander Planke, Miss. Augusta Maria"/>
        <s v="Nicola-Yarred, Miss. Jamila"/>
        <s v="Ahlin, Mrs. Johan (Johanna Persdotter Larsson)"/>
        <s v="Turpin, Mrs. William John Robert (Dorothy Ann Wonnacott)"/>
        <s v="Kraeff, Mr. Theodor"/>
        <s v="Laroche, Miss. Simonne Marie Anne Andree"/>
        <s v="Devaney, Miss. Margaret Delia"/>
        <s v="Rogers, Mr. William John"/>
        <s v="Lennon, Mr. Denis"/>
        <s v="O'Driscoll, Miss. Bridget"/>
        <s v="Samaan, Mr. Youssef"/>
        <s v="Arnold-Franchi, Mrs. Josef (Josefine Franchi)"/>
        <s v="Panula, Master. Juha Niilo"/>
        <s v="Nosworthy, Mr. Richard Cater"/>
        <s v="Harper, Mrs. Henry Sleeper (Myna Haxtun)"/>
        <s v="Faunthorpe, Mrs. Lizzie (Elizabeth Anne Wilkinson)"/>
        <s v="Ostby, Mr. Engelhart Cornelius"/>
        <s v="Woolner, Mr. Hugh"/>
        <s v="Rugg, Miss. Emily"/>
        <s v="Novel, Mr. Mansouer"/>
        <s v="West, Miss. Constance Mirium"/>
        <s v="Goodwin, Master. William Frederick"/>
        <s v="Sirayanian, Mr. Orsen"/>
        <s v="Icard, Miss. Amelie"/>
        <s v="Harris, Mr. Henry Birkhardt"/>
        <s v="Skoog, Master. Harald"/>
        <s v="Stewart, Mr. Albert A"/>
        <s v="Moubarek, Master. Gerios"/>
        <s v="Nye, Mrs. (Elizabeth Ramell)"/>
        <s v="Crease, Mr. Ernest James"/>
        <s v="Andersson, Miss. Erna Alexandra"/>
        <s v="Kink, Mr. Vincenz"/>
        <s v="Jenkin, Mr. Stephen Curnow"/>
        <s v="Goodwin, Miss. Lillian Amy"/>
        <s v="Hood, Mr. Ambrose Jr"/>
        <s v="Chronopoulos, Mr. Apostolos"/>
        <s v="Bing, Mr. Lee"/>
        <s v="Moen, Mr. Sigurd Hansen"/>
        <s v="Staneff, Mr. Ivan"/>
        <s v="Moutal, Mr. Rahamin Haim"/>
        <s v="Caldwell, Master. Alden Gates"/>
        <s v="Dowdell, Miss. Elizabeth"/>
        <s v="Waelens, Mr. Achille"/>
        <s v="Sheerlinck, Mr. Jan Baptist"/>
        <s v="McDermott, Miss. Brigdet Delia"/>
        <s v="Carrau, Mr. Francisco M"/>
        <s v="Ilett, Miss. Bertha"/>
        <s v="Backstrom, Mrs. Karl Alfred (Maria Mathilda Gustafsson)"/>
        <s v="Ford, Mr. William Neal"/>
        <s v="Slocovski, Mr. Selman Francis"/>
        <s v="Fortune, Miss. Mabel Helen"/>
        <s v="Celotti, Mr. Francesco"/>
        <s v="Christmann, Mr. Emil"/>
        <s v="Andreasson, Mr. Paul Edvin"/>
        <s v="Chaffee, Mr. Herbert Fuller"/>
        <s v="Dean, Mr. Bertram Frank"/>
        <s v="Coxon, Mr. Daniel"/>
        <s v="Shorney, Mr. Charles Joseph"/>
        <s v="Goldschmidt, Mr. George B"/>
        <s v="Greenfield, Mr. William Bertram"/>
        <s v="Doling, Mrs. John T (Ada Julia Bone)"/>
        <s v="Kantor, Mr. Sinai"/>
        <s v="Petranec, Miss. Matilda"/>
        <s v="Petroff, Mr. Pastcho (&quot;Pentcho&quot;)"/>
        <s v="White, Mr. Richard Frasar"/>
        <s v="Johansson, Mr. Gustaf Joel"/>
        <s v="Gustafsson, Mr. Anders Vilhelm"/>
        <s v="Mionoff, Mr. Stoytcho"/>
        <s v="Salkjelsvik, Miss. Anna Kristine"/>
        <s v="Moss, Mr. Albert Johan"/>
        <s v="Rekic, Mr. Tido"/>
        <s v="Moran, Miss. Bertha"/>
        <s v="Porter, Mr. Walter Chamberlain"/>
        <s v="Zabour, Miss. Hileni"/>
        <s v="Barton, Mr. David John"/>
        <s v="Jussila, Miss. Katriina"/>
        <s v="Attalah, Miss. Malake"/>
        <s v="Pekoniemi, Mr. Edvard"/>
        <s v="Connors, Mr. Patrick"/>
        <s v="Turpin, Mr. William John Robert"/>
        <s v="Baxter, Mr. Quigg Edmond"/>
        <s v="Andersson, Miss. Ellis Anna Maria"/>
        <s v="Hickman, Mr. Stanley George"/>
        <s v="Moore, Mr. Leonard Charles"/>
        <s v="Nasser, Mr. Nicholas"/>
        <s v="Webber, Miss. Susan"/>
        <s v="White, Mr. Percival Wayland"/>
        <s v="Nicola-Yarred, Master. Elias"/>
        <s v="McMahon, Mr. Martin"/>
        <s v="Madsen, Mr. Fridtjof Arne"/>
        <s v="Peter, Miss. Anna"/>
        <s v="Ekstrom, Mr. Johan"/>
        <s v="Drazenoic, Mr. Jozef"/>
        <s v="Coelho, Mr. Domingos Fernandeo"/>
        <s v="Robins, Mrs. Alexander A (Grace Charity Laury)"/>
        <s v="Weisz, Mrs. Leopold (Mathilde Francoise Pede)"/>
        <s v="Sobey, Mr. Samuel James Hayden"/>
        <s v="Richard, Mr. Emile"/>
        <s v="Newsom, Miss. Helen Monypeny"/>
        <s v="Futrelle, Mr. Jacques Heath"/>
        <s v="Osen, Mr. Olaf Elon"/>
        <s v="Giglio, Mr. Victor"/>
        <s v="Boulos, Mrs. Joseph (Sultana)"/>
        <s v="Nysten, Miss. Anna Sofia"/>
        <s v="Hakkarainen, Mrs. Pekka Pietari (Elin Matilda Dolck)"/>
        <s v="Burke, Mr. Jeremiah"/>
        <s v="Andrew, Mr. Edgardo Samuel"/>
        <s v="Nicholls, Mr. Joseph Charles"/>
        <s v="Andersson, Mr. August Edvard (&quot;Wennerstrom&quot;)"/>
        <s v="Ford, Miss. Robina Maggie &quot;Ruby&quot;"/>
        <s v="Navratil, Mr. Michel (&quot;Louis M Hoffman&quot;)"/>
        <s v="Byles, Rev. Thomas Roussel Davids"/>
        <s v="Bateman, Rev. Robert James"/>
        <s v="Pears, Mrs. Thomas (Edith Wearne)"/>
        <s v="Meo, Mr. Alfonzo"/>
        <s v="van Billiard, Mr. Austin Blyler"/>
        <s v="Olsen, Mr. Ole Martin"/>
        <s v="Williams, Mr. Charles Duane"/>
        <s v="Gilnagh, Miss. Katherine &quot;Katie&quot;"/>
        <s v="Corn, Mr. Harry"/>
        <s v="Smiljanic, Mr. Mile"/>
        <s v="Sage, Master. Thomas Henry"/>
        <s v="Cribb, Mr. John Hatfield"/>
        <s v="Watt, Mrs. James (Elizabeth &quot;Bessie&quot; Inglis Milne)"/>
        <s v="Bengtsson, Mr. John Viktor"/>
        <s v="Calic, Mr. Jovo"/>
        <s v="Panula, Master. Eino Viljami"/>
        <s v="Goldsmith, Master. Frank John William &quot;Frankie&quot;"/>
        <s v="Chibnall, Mrs. (Edith Martha Bowerman)"/>
        <s v="Skoog, Mrs. William (Anna Bernhardina Karlsson)"/>
        <s v="Baumann, Mr. John D"/>
        <s v="Ling, Mr. Lee"/>
        <s v="Van der hoef, Mr. Wyckoff"/>
        <s v="Rice, Master. Arthur"/>
        <s v="Johnson, Miss. Eleanor Ileen"/>
        <s v="Sivola, Mr. Antti Wilhelm"/>
        <s v="Smith, Mr. James Clinch"/>
        <s v="Klasen, Mr. Klas Albin"/>
        <s v="Lefebre, Master. Henry Forbes"/>
        <s v="Isham, Miss. Ann Elizabeth"/>
        <s v="Hale, Mr. Reginald"/>
        <s v="Leonard, Mr. Lionel"/>
        <s v="Sage, Miss. Constance Gladys"/>
        <s v="Pernot, Mr. Rene"/>
        <s v="Asplund, Master. Clarence Gustaf Hugo"/>
        <s v="Becker, Master. Richard F"/>
        <s v="Kink-Heilmann, Miss. Luise Gretchen"/>
        <s v="Rood, Mr. Hugh Roscoe"/>
        <s v="O'Brien, Mrs. Thomas (Johanna &quot;Hannah&quot; Godfrey)"/>
        <s v="Romaine, Mr. Charles Hallace (&quot;Mr C Rolmane&quot;)"/>
        <s v="Bourke, Mr. John"/>
        <s v="Turcin, Mr. Stjepan"/>
        <s v="Pinsky, Mrs. (Rosa)"/>
        <s v="Carbines, Mr. William"/>
        <s v="Andersen-Jensen, Miss. Carla Christine Nielsine"/>
        <s v="Navratil, Master. Michel M"/>
        <s v="Brown, Mrs. James Joseph (Margaret Tobin)"/>
        <s v="Lurette, Miss. Elise"/>
        <s v="Mernagh, Mr. Robert"/>
        <s v="Olsen, Mr. Karl Siegwart Andreas"/>
        <s v="Madigan, Miss. Margaret &quot;Maggie&quot;"/>
        <s v="Yrois, Miss. Henriette (&quot;Mrs Harbeck&quot;)"/>
        <s v="Vande Walle, Mr. Nestor Cyriel"/>
        <s v="Sage, Mr. Frederick"/>
        <s v="Johanson, Mr. Jakob Alfred"/>
        <s v="Youseff, Mr. Gerious"/>
        <s v="Cohen, Mr. Gurshon &quot;Gus&quot;"/>
        <s v="Strom, Miss. Telma Matilda"/>
        <s v="Backstrom, Mr. Karl Alfred"/>
        <s v="Albimona, Mr. Nassef Cassem"/>
        <s v="Carr, Miss. Helen &quot;Ellen&quot;"/>
        <s v="Blank, Mr. Henry"/>
        <s v="Ali, Mr. Ahmed"/>
        <s v="Cameron, Miss. Clear Annie"/>
        <s v="Perkin, Mr. John Henry"/>
        <s v="Givard, Mr. Hans Kristensen"/>
        <s v="Kiernan, Mr. Philip"/>
        <s v="Newell, Miss. Madeleine"/>
        <s v="Honkanen, Miss. Eliina"/>
        <s v="Jacobsohn, Mr. Sidney Samuel"/>
        <s v="Bazzani, Miss. Albina"/>
        <s v="Harris, Mr. Walter"/>
        <s v="Sunderland, Mr. Victor Francis"/>
        <s v="Bracken, Mr. James H"/>
        <s v="Green, Mr. George Henry"/>
        <s v="Nenkoff, Mr. Christo"/>
        <s v="Hoyt, Mr. Frederick Maxfield"/>
        <s v="Berglund, Mr. Karl Ivar Sven"/>
        <s v="Mellors, Mr. William John"/>
        <s v="Lovell, Mr. John Hall (&quot;Henry&quot;)"/>
        <s v="Fahlstrom, Mr. Arne Jonas"/>
        <s v="Lefebre, Miss. Mathilde"/>
        <s v="Harris, Mrs. Henry Birkhardt (Irene Wallach)"/>
        <s v="Larsson, Mr. Bengt Edvin"/>
        <s v="Sjostedt, Mr. Ernst Adolf"/>
        <s v="Asplund, Miss. Lillian Gertrud"/>
        <s v="Leyson, Mr. Robert William Norman"/>
        <s v="Harknett, Miss. Alice Phoebe"/>
        <s v="Hold, Mr. Stephen"/>
        <s v="Collyer, Miss. Marjorie &quot;Lottie&quot;"/>
        <s v="Pengelly, Mr. Frederick William"/>
        <s v="Hunt, Mr. George Henry"/>
        <s v="Zabour, Miss. Thamine"/>
        <s v="Murphy, Miss. Katherine &quot;Kate&quot;"/>
        <s v="Coleridge, Mr. Reginald Charles"/>
        <s v="Maenpaa, Mr. Matti Alexanteri"/>
        <s v="Attalah, Mr. Sleiman"/>
        <s v="Minahan, Dr. William Edward"/>
        <s v="Lindahl, Miss. Agda Thorilda Viktoria"/>
        <s v="Hamalainen, Mrs. William (Anna)"/>
        <s v="Beckwith, Mr. Richard Leonard"/>
        <s v="Carter, Rev. Ernest Courtenay"/>
        <s v="Reed, Mr. James George"/>
        <s v="Strom, Mrs. Wilhelm (Elna Matilda Persson)"/>
        <s v="Stead, Mr. William Thomas"/>
        <s v="Lobb, Mr. William Arthur"/>
        <s v="Rosblom, Mrs. Viktor (Helena Wilhelmina)"/>
        <s v="Touma, Mrs. Darwis (Hanne Youssef Razi)"/>
        <s v="Thorne, Mrs. Gertrude Maybelle"/>
        <s v="Cherry, Miss. Gladys"/>
        <s v="Ward, Miss. Anna"/>
        <s v="Parrish, Mrs. (Lutie Davis)"/>
        <s v="Smith, Mr. Thomas"/>
        <s v="Asplund, Master. Edvin Rojj Felix"/>
        <s v="Taussig, Mr. Emil"/>
        <s v="Harrison, Mr. William"/>
        <s v="Henry, Miss. Delia"/>
        <s v="Reeves, Mr. David"/>
        <s v="Panula, Mr. Ernesti Arvid"/>
        <s v="Persson, Mr. Ernst Ulrik"/>
        <s v="Graham, Mrs. William Thompson (Edith Junkins)"/>
        <s v="Bissette, Miss. Amelia"/>
        <s v="Cairns, Mr. Alexander"/>
        <s v="Tornquist, Mr. William Henry"/>
        <s v="Mellinger, Mrs. (Elizabeth Anne Maidment)"/>
        <s v="Natsch, Mr. Charles H"/>
        <s v="Healy, Miss. Hanora &quot;Nora&quot;"/>
        <s v="Andrews, Miss. Kornelia Theodosia"/>
        <s v="Lindblom, Miss. Augusta Charlotta"/>
        <s v="Parkes, Mr. Francis &quot;Frank&quot;"/>
        <s v="Rice, Master. Eric"/>
        <s v="Abbott, Mrs. Stanton (Rosa Hunt)"/>
        <s v="Duane, Mr. Frank"/>
        <s v="Olsson, Mr. Nils Johan Goransson"/>
        <s v="de Pelsmaeker, Mr. Alfons"/>
        <s v="Dorking, Mr. Edward Arthur"/>
        <s v="Smith, Mr. Richard William"/>
        <s v="Stankovic, Mr. Ivan"/>
        <s v="de Mulder, Mr. Theodore"/>
        <s v="Naidenoff, Mr. Penko"/>
        <s v="Hosono, Mr. Masabumi"/>
        <s v="Connolly, Miss. Kate"/>
        <s v="Barber, Miss. Ellen &quot;Nellie&quot;"/>
        <s v="Bishop, Mrs. Dickinson H (Helen Walton)"/>
        <s v="Levy, Mr. Rene Jacques"/>
        <s v="Haas, Miss. Aloisia"/>
        <s v="Mineff, Mr. Ivan"/>
        <s v="Lewy, Mr. Ervin G"/>
        <s v="Hanna, Mr. Mansour"/>
        <s v="Allison, Miss. Helen Loraine"/>
        <s v="Saalfeld, Mr. Adolphe"/>
        <s v="Baxter, Mrs. James (Helene DeLaudeniere Chaput)"/>
        <s v="Kelly, Miss. Anna Katherine &quot;Annie Kate&quot;"/>
        <s v="McCoy, Mr. Bernard"/>
        <s v="Johnson, Mr. William Cahoone Jr"/>
        <s v="Keane, Miss. Nora A"/>
        <s v="Williams, Mr. Howard Hugh &quot;Harry&quot;"/>
        <s v="Allison, Master. Hudson Trevor"/>
        <s v="Fleming, Miss. Margaret"/>
        <s v="Penasco y Castellana, Mrs. Victor de Satode (Maria Josefa Perez de Soto y Vallejo)"/>
        <s v="Abelson, Mr. Samuel"/>
        <s v="Francatelli, Miss. Laura Mabel"/>
        <s v="Hays, Miss. Margaret Bechstein"/>
        <s v="Ryerson, Miss. Emily Borie"/>
        <s v="Lahtinen, Mrs. William (Anna Sylfven)"/>
        <s v="Hendekovic, Mr. Ignjac"/>
        <s v="Hart, Mr. Benjamin"/>
        <s v="Nilsson, Miss. Helmina Josefina"/>
        <s v="Kantor, Mrs. Sinai (Miriam Sternin)"/>
        <s v="Moraweck, Dr. Ernest"/>
        <s v="Wick, Miss. Mary Natalie"/>
        <s v="Spedden, Mrs. Frederic Oakley (Margaretta Corning Stone)"/>
        <s v="Dennis, Mr. Samuel"/>
        <s v="Danoff, Mr. Yoto"/>
        <s v="Slayter, Miss. Hilda Mary"/>
        <s v="Caldwell, Mrs. Albert Francis (Sylvia Mae Harbaugh)"/>
        <s v="Sage, Mr. George John Jr"/>
        <s v="Young, Miss. Marie Grice"/>
        <s v="Nysveen, Mr. Johan Hansen"/>
        <s v="Ball, Mrs. (Ada E Hall)"/>
        <s v="Goldsmith, Mrs. Frank John (Emily Alice Brown)"/>
        <s v="Hippach, Miss. Jean Gertrude"/>
        <s v="McCoy, Miss. Agnes"/>
        <s v="Partner, Mr. Austen"/>
        <s v="Graham, Mr. George Edward"/>
        <s v="Vander Planke, Mr. Leo Edmondus"/>
        <s v="Frauenthal, Mrs. Henry William (Clara Heinsheimer)"/>
        <s v="Denkoff, Mr. Mitto"/>
        <s v="Pears, Mr. Thomas Clinton"/>
        <s v="Burns, Miss. Elizabeth Margaret"/>
        <s v="Dahl, Mr. Karl Edwart"/>
        <s v="Blackwell, Mr. Stephen Weart"/>
        <s v="Navratil, Master. Edmond Roger"/>
        <s v="Fortune, Miss. Alice Elizabeth"/>
        <s v="Collander, Mr. Erik Gustaf"/>
        <s v="Sedgwick, Mr. Charles Frederick Waddington"/>
        <s v="Fox, Mr. Stanley Hubert"/>
        <s v="Brown, Miss. Amelia &quot;Mildred&quot;"/>
        <s v="Smith, Miss. Marion Elsie"/>
        <s v="Davison, Mrs. Thomas Henry (Mary E Finck)"/>
        <s v="Coutts, Master. William Loch &quot;William&quot;"/>
        <s v="Dimic, Mr. Jovan"/>
        <s v="Odahl, Mr. Nils Martin"/>
        <s v="Williams-Lambert, Mr. Fletcher Fellows"/>
        <s v="Elias, Mr. Tannous"/>
        <s v="Arnold-Franchi, Mr. Josef"/>
        <s v="Yousif, Mr. Wazli"/>
        <s v="Vanden Steen, Mr. Leo Peter"/>
        <s v="Bowerman, Miss. Elsie Edith"/>
        <s v="Funk, Miss. Annie Clemmer"/>
        <s v="McGovern, Miss. Mary"/>
        <s v="Mockler, Miss. Helen Mary &quot;Ellie&quot;"/>
        <s v="Skoog, Mr. Wilhelm"/>
        <s v="del Carlo, Mr. Sebastiano"/>
        <s v="Barbara, Mrs. (Catherine David)"/>
        <s v="Asim, Mr. Adola"/>
        <s v="O'Brien, Mr. Thomas"/>
        <s v="Adahl, Mr. Mauritz Nils Martin"/>
        <s v="Warren, Mrs. Frank Manley (Anna Sophia Atkinson)"/>
        <s v="Moussa, Mrs. (Mantoura Boulos)"/>
        <s v="Jermyn, Miss. Annie"/>
        <s v="Aubart, Mme. Leontine Pauline"/>
        <s v="Harder, Mr. George Achilles"/>
        <s v="Wiklund, Mr. Jakob Alfred"/>
        <s v="Beavan, Mr. William Thomas"/>
        <s v="Ringhini, Mr. Sante"/>
        <s v="Palsson, Miss. Stina Viola"/>
        <s v="Meyer, Mrs. Edgar Joseph (Leila Saks)"/>
        <s v="Landergren, Miss. Aurora Adelia"/>
        <s v="Widener, Mr. Harry Elkins"/>
        <s v="Betros, Mr. Tannous"/>
        <s v="Gustafsson, Mr. Karl Gideon"/>
        <s v="Bidois, Miss. Rosalie"/>
        <s v="Nakid, Miss. Maria (&quot;Mary&quot;)"/>
        <s v="Tikkanen, Mr. Juho"/>
        <s v="Holverson, Mrs. Alexander Oskar (Mary Aline Towner)"/>
        <s v="Plotcharsky, Mr. Vasil"/>
        <s v="Davies, Mr. Charles Henry"/>
        <s v="Goodwin, Master. Sidney Leonard"/>
        <s v="Buss, Miss. Kate"/>
        <s v="Sadlier, Mr. Matthew"/>
        <s v="Lehmann, Miss. Bertha"/>
        <s v="Carter, Mr. William Ernest"/>
        <s v="Jansson, Mr. Carl Olof"/>
        <s v="Gustafsson, Mr. Johan Birger"/>
        <s v="Newell, Miss. Marjorie"/>
        <s v="Sandstrom, Mrs. Hjalmar (Agnes Charlotta Bengtsson)"/>
        <s v="Johansson, Mr. Erik"/>
        <s v="Olsson, Miss. Elina"/>
        <s v="McKane, Mr. Peter David"/>
        <s v="Pain, Dr. Alfred"/>
        <s v="Trout, Mrs. William H (Jessie L)"/>
        <s v="Niskanen, Mr. Juha"/>
        <s v="Adams, Mr. John"/>
        <s v="Jussila, Miss. Mari Aina"/>
        <s v="Hakkarainen, Mr. Pekka Pietari"/>
        <s v="Oreskovic, Miss. Marija"/>
        <s v="Gale, Mr. Shadrach"/>
        <s v="Widegren, Mr. Carl/Charles Peter"/>
        <s v="Richards, Master. William Rowe"/>
        <s v="Birkeland, Mr. Hans Martin Monsen"/>
        <s v="Lefebre, Miss. Ida"/>
        <s v="Sdycoff, Mr. Todor"/>
        <s v="Hart, Mr. Henry"/>
        <s v="Minahan, Miss. Daisy E"/>
        <s v="Cunningham, Mr. Alfred Fleming"/>
        <s v="Sundman, Mr. Johan Julian"/>
        <s v="Meek, Mrs. Thomas (Annie Louise Rowley)"/>
        <s v="Drew, Mrs. James Vivian (Lulu Thorne Christian)"/>
        <s v="Silven, Miss. Lyyli Karoliina"/>
        <s v="Matthews, Mr. William John"/>
        <s v="Van Impe, Miss. Catharina"/>
        <s v="Gheorgheff, Mr. Stanio"/>
        <s v="Charters, Mr. David"/>
        <s v="Zimmerman, Mr. Leo"/>
        <s v="Danbom, Mrs. Ernst Gilbert (Anna Sigrid Maria Brogren)"/>
        <s v="Rosblom, Mr. Viktor Richard"/>
        <s v="Wiseman, Mr. Phillippe"/>
        <s v="Clarke, Mrs. Charles V (Ada Maria Winfield)"/>
        <s v="Phillips, Miss. Kate Florence (&quot;Mrs Kate Louise Phillips Marshall&quot;)"/>
        <s v="Flynn, Mr. James"/>
        <s v="Pickard, Mr. Berk (Berk Trembisky)"/>
        <s v="Bjornstrom-Steffansson, Mr. Mauritz Hakan"/>
        <s v="Thorneycroft, Mrs. Percival (Florence Kate White)"/>
        <s v="Louch, Mrs. Charles Alexander (Alice Adelaide Slow)"/>
        <s v="Kallio, Mr. Nikolai Erland"/>
        <s v="Silvey, Mr. William Baird"/>
        <s v="Carter, Miss. Lucile Polk"/>
        <s v="Ford, Miss. Doolina Margaret &quot;Daisy&quot;"/>
        <s v="Richards, Mrs. Sidney (Emily Hocking)"/>
        <s v="Fortune, Mr. Mark"/>
        <s v="Kvillner, Mr. Johan Henrik Johannesson"/>
        <s v="Hart, Mrs. Benjamin (Esther Ada Bloomfield)"/>
        <s v="Hampe, Mr. Leon"/>
        <s v="Petterson, Mr. Johan Emil"/>
        <s v="Reynaldo, Ms. Encarnacion"/>
        <s v="Johannesen-Bratthammer, Mr. Bernt"/>
        <s v="Dodge, Master. Washington"/>
        <s v="Mellinger, Miss. Madeleine Violet"/>
        <s v="Seward, Mr. Frederic Kimber"/>
        <s v="Baclini, Miss. Marie Catherine"/>
        <s v="Peuchen, Major. Arthur Godfrey"/>
        <s v="West, Mr. Edwy Arthur"/>
        <s v="Hagland, Mr. Ingvald Olai Olsen"/>
        <s v="Foreman, Mr. Benjamin Laventall"/>
        <s v="Goldenberg, Mr. Samuel L"/>
        <s v="Peduzzi, Mr. Joseph"/>
        <s v="Jalsevac, Mr. Ivan"/>
        <s v="Millet, Mr. Francis Davis"/>
        <s v="Kenyon, Mrs. Frederick R (Marion)"/>
        <s v="Toomey, Miss. Ellen"/>
        <s v="O'Connor, Mr. Maurice"/>
        <s v="Anderson, Mr. Harry"/>
        <s v="Morley, Mr. William"/>
        <s v="Gee, Mr. Arthur H"/>
        <s v="Milling, Mr. Jacob Christian"/>
        <s v="Maisner, Mr. Simon"/>
        <s v="Goncalves, Mr. Manuel Estanslas"/>
        <s v="Campbell, Mr. William"/>
        <s v="Smart, Mr. John Montgomery"/>
        <s v="Scanlan, Mr. James"/>
        <s v="Baclini, Miss. Helene Barbara"/>
        <s v="Keefe, Mr. Arthur"/>
        <s v="Cacic, Mr. Luka"/>
        <s v="West, Mrs. Edwy Arthur (Ada Mary Worth)"/>
        <s v="Jerwan, Mrs. Amin S (Marie Marthe Thuillard)"/>
        <s v="Strandberg, Miss. Ida Sofia"/>
        <s v="Clifford, Mr. George Quincy"/>
        <s v="Renouf, Mr. Peter Henry"/>
        <s v="Braund, Mr. Lewis Richard"/>
        <s v="Karlsson, Mr. Nils August"/>
        <s v="Hirvonen, Miss. Hildur E"/>
        <s v="Goodwin, Master. Harold Victor"/>
        <s v="Frost, Mr. Anthony Wood &quot;Archie&quot;"/>
        <s v="Rouse, Mr. Richard Henry"/>
        <s v="Turkula, Mrs. (Hedwig)"/>
        <s v="Bishop, Mr. Dickinson H"/>
        <s v="Lefebre, Miss. Jeannie"/>
        <s v="Hoyt, Mrs. Frederick Maxfield (Jane Anne Forby)"/>
        <s v="Kent, Mr. Edward Austin"/>
        <s v="Somerton, Mr. Francis William"/>
        <s v="Coutts, Master. Eden Leslie &quot;Neville&quot;"/>
        <s v="Hagland, Mr. Konrad Mathias Reiersen"/>
        <s v="Windelov, Mr. Einar"/>
        <s v="Molson, Mr. Harry Markland"/>
        <s v="Artagaveytia, Mr. Ramon"/>
        <s v="Stanley, Mr. Edward Roland"/>
        <s v="Yousseff, Mr. Gerious"/>
        <s v="Eustis, Miss. Elizabeth Mussey"/>
        <s v="Shellard, Mr. Frederick William"/>
        <s v="Allison, Mrs. Hudson J C (Bessie Waldo Daniels)"/>
        <s v="Svensson, Mr. Olof"/>
        <s v="Calic, Mr. Petar"/>
        <s v="Canavan, Miss. Mary"/>
        <s v="O'Sullivan, Miss. Bridget Mary"/>
        <s v="Laitinen, Miss. Kristina Sofia"/>
        <s v="Maioni, Miss. Roberta"/>
        <s v="Penasco y Castellana, Mr. Victor de Satode"/>
        <s v="Quick, Mrs. Frederick Charles (Jane Richards)"/>
        <s v="Bradley, Mr. George (&quot;George Arthur Brayton&quot;)"/>
        <s v="Olsen, Mr. Henry Margido"/>
        <s v="Lang, Mr. Fang"/>
        <s v="Daly, Mr. Eugene Patrick"/>
        <s v="Webber, Mr. James"/>
        <s v="McGough, Mr. James Robert"/>
        <s v="Rothschild, Mrs. Martin (Elizabeth L. Barrett)"/>
        <s v="Coleff, Mr. Satio"/>
        <s v="Walker, Mr. William Anderson"/>
        <s v="Lemore, Mrs. (Amelia Milley)"/>
        <s v="Ryan, Mr. Patrick"/>
        <s v="Angle, Mrs. William A (Florence &quot;Mary&quot; Agnes Hughes)"/>
        <s v="Pavlovic, Mr. Stefo"/>
        <s v="Perreault, Miss. Anne"/>
        <s v="Vovk, Mr. Janko"/>
        <s v="Lahoud, Mr. Sarkis"/>
        <s v="Hippach, Mrs. Louis Albert (Ida Sophia Fischer)"/>
        <s v="Kassem, Mr. Fared"/>
        <s v="Farrell, Mr. James"/>
        <s v="Ridsdale, Miss. Lucy"/>
        <s v="Farthing, Mr. John"/>
        <s v="Salonen, Mr. Johan Werner"/>
        <s v="Hocking, Mr. Richard George"/>
        <s v="Quick, Miss. Phyllis May"/>
        <s v="Toufik, Mr. Nakli"/>
        <s v="Elias, Mr. Joseph Jr"/>
        <s v="Peter, Mrs. Catherine (Catherine Rizk)"/>
        <s v="Cacic, Miss. Marija"/>
        <s v="Hart, Miss. Eva Miriam"/>
        <s v="Butt, Major. Archibald Willingham"/>
        <s v="LeRoy, Miss. Bertha"/>
        <s v="Risien, Mr. Samuel Beard"/>
        <s v="Frolicher, Miss. Hedwig Margaritha"/>
        <s v="Crosby, Miss. Harriet R"/>
        <s v="Andersson, Miss. Ingeborg Constanzia"/>
        <s v="Andersson, Miss. Sigrid Elisabeth"/>
        <s v="Beane, Mr. Edward"/>
        <s v="Douglas, Mr. Walter Donald"/>
        <s v="Nicholson, Mr. Arthur Ernest"/>
        <s v="Beane, Mrs. Edward (Ethel Clarke)"/>
        <s v="Padro y Manent, Mr. Julian"/>
        <s v="Goldsmith, Mr. Frank John"/>
        <s v="Davies, Master. John Morgan Jr"/>
        <s v="Thayer, Mr. John Borland Jr"/>
        <s v="Sharp, Mr. Percival James R"/>
        <s v="O'Brien, Mr. Timothy"/>
        <s v="Leeni, Mr. Fahim (&quot;Philip Zenni&quot;)"/>
        <s v="Ohman, Miss. Velin"/>
        <s v="Wright, Mr. George"/>
        <s v="Duff Gordon, Lady. (Lucille Christiana Sutherland) (&quot;Mrs Morgan&quot;)"/>
        <s v="Robbins, Mr. Victor"/>
        <s v="Taussig, Mrs. Emil (Tillie Mandelbaum)"/>
        <s v="de Messemaeker, Mrs. Guillaume Joseph (Emma)"/>
        <s v="Morrow, Mr. Thomas Rowan"/>
        <s v="Sivic, Mr. Husein"/>
        <s v="Norman, Mr. Robert Douglas"/>
        <s v="Simmons, Mr. John"/>
        <s v="Meanwell, Miss. (Marion Ogden)"/>
        <s v="Davies, Mr. Alfred J"/>
        <s v="Stoytcheff, Mr. Ilia"/>
        <s v="Palsson, Mrs. Nils (Alma Cornelia Berglund)"/>
        <s v="Doharr, Mr. Tannous"/>
        <s v="Jonsson, Mr. Carl"/>
        <s v="Harris, Mr. George"/>
        <s v="Appleton, Mrs. Edward Dale (Charlotte Lamson)"/>
        <s v="Flynn, Mr. John Irwin (&quot;Irving&quot;)"/>
        <s v="Kelly, Miss. Mary"/>
        <s v="Rush, Mr. Alfred George John"/>
        <s v="Patchett, Mr. George"/>
        <s v="Garside, Miss. Ethel"/>
        <s v="Silvey, Mrs. William Baird (Alice Munger)"/>
        <s v="Caram, Mrs. Joseph (Maria Elias)"/>
        <s v="Jussila, Mr. Eiriik"/>
        <s v="Christy, Miss. Julie Rachel"/>
        <s v="Thayer, Mrs. John Borland (Marian Longstreth Morris)"/>
        <s v="Downton, Mr. William James"/>
        <s v="Ross, Mr. John Hugo"/>
        <s v="Paulner, Mr. Uscher"/>
        <s v="Taussig, Miss. Ruth"/>
        <s v="Jarvis, Mr. John Denzil"/>
        <s v="Frolicher-Stehli, Mr. Maxmillian"/>
        <s v="Gilinski, Mr. Eliezer"/>
        <s v="Murdlin, Mr. Joseph"/>
        <s v="Rintamaki, Mr. Matti"/>
        <s v="Stephenson, Mrs. Walter Bertram (Martha Eustis)"/>
        <s v="Elsbury, Mr. William James"/>
        <s v="Bourke, Miss. Mary"/>
        <s v="Chapman, Mr. John Henry"/>
        <s v="Van Impe, Mr. Jean Baptiste"/>
        <s v="Leitch, Miss. Jessie Wills"/>
        <s v="Johnson, Mr. Alfred"/>
        <s v="Boulos, Mr. Hanna"/>
        <s v="Duff Gordon, Sir. Cosmo Edmund (&quot;Mr Morgan&quot;)"/>
        <s v="Jacobsohn, Mrs. Sidney Samuel (Amy Frances Christy)"/>
        <s v="Slabenoff, Mr. Petco"/>
        <s v="Harrington, Mr. Charles H"/>
        <s v="Torber, Mr. Ernst William"/>
        <s v="Homer, Mr. Harry (&quot;Mr E Haven&quot;)"/>
        <s v="Lindell, Mr. Edvard Bengtsson"/>
        <s v="Karaic, Mr. Milan"/>
        <s v="Daniel, Mr. Robert Williams"/>
        <s v="Laroche, Mrs. Joseph (Juliette Marie Louise Lafargue)"/>
        <s v="Shutes, Miss. Elizabeth W"/>
        <s v="Andersson, Mrs. Anders Johan (Alfrida Konstantia Brogren)"/>
        <s v="Jardin, Mr. Jose Neto"/>
        <s v="Murphy, Miss. Margaret Jane"/>
        <s v="Horgan, Mr. John"/>
        <s v="Brocklebank, Mr. William Alfred"/>
        <s v="Herman, Miss. Alice"/>
        <s v="Danbom, Mr. Ernst Gilbert"/>
        <s v="Lobb, Mrs. William Arthur (Cordelia K Stanlick)"/>
        <s v="Becker, Miss. Marion Louise"/>
        <s v="Gavey, Mr. Lawrence"/>
        <s v="Yasbeck, Mr. Antoni"/>
        <s v="Kimball, Mr. Edwin Nelson Jr"/>
        <s v="Nakid, Mr. Sahid"/>
        <s v="Hansen, Mr. Henry Damsgaard"/>
        <s v="Bowen, Mr. David John &quot;Dai&quot;"/>
        <s v="Sutton, Mr. Frederick"/>
        <s v="Kirkland, Rev. Charles Leonard"/>
        <s v="Longley, Miss. Gretchen Fiske"/>
        <s v="Bostandyeff, Mr. Guentcho"/>
        <s v="O'Connell, Mr. Patrick D"/>
        <s v="Barkworth, Mr. Algernon Henry Wilson"/>
        <s v="Lundahl, Mr. Johan Svensson"/>
        <s v="Stahelin-Maeglin, Dr. Max"/>
        <s v="Parr, Mr. William Henry Marsh"/>
        <s v="Skoog, Miss. Mabel"/>
        <s v="Davis, Miss. Mary"/>
        <s v="Leinonen, Mr. Antti Gustaf"/>
        <s v="Collyer, Mr. Harvey"/>
        <s v="Panula, Mrs. Juha (Maria Emilia Ojala)"/>
        <s v="Thorneycroft, Mr. Percival"/>
        <s v="Jensen, Mr. Hans Peder"/>
        <s v="Sagesser, Mlle. Emma"/>
        <s v="Skoog, Miss. Margit Elizabeth"/>
        <s v="Foo, Mr. Choong"/>
        <s v="Baclini, Miss. Eugenie"/>
        <s v="Harper, Mr. Henry Sleeper"/>
        <s v="Cor, Mr. Liudevit"/>
        <s v="Simonius-Blumer, Col. Oberst Alfons"/>
        <s v="Willey, Mr. Edward"/>
        <s v="Stanley, Miss. Amy Zillah Elsie"/>
        <s v="Mitkoff, Mr. Mito"/>
        <s v="Doling, Miss. Elsie"/>
        <s v="Kalvik, Mr. Johannes Halvorsen"/>
        <s v="O'Leary, Miss. Hanora &quot;Norah&quot;"/>
        <s v="Hegarty, Miss. Hanora &quot;Nora&quot;"/>
        <s v="Hickman, Mr. Leonard Mark"/>
        <s v="Radeff, Mr. Alexander"/>
        <s v="Bourke, Mrs. John (Catherine)"/>
        <s v="Eitemiller, Mr. George Floyd"/>
        <s v="Newell, Mr. Arthur Webster"/>
        <s v="Frauenthal, Dr. Henry William"/>
        <s v="Badt, Mr. Mohamed"/>
        <s v="Colley, Mr. Edward Pomeroy"/>
        <s v="Coleff, Mr. Peju"/>
        <s v="Lindqvist, Mr. Eino William"/>
        <s v="Hickman, Mr. Lewis"/>
        <s v="Butler, Mr. Reginald Fenton"/>
        <s v="Rommetvedt, Mr. Knud Paust"/>
        <s v="Cook, Mr. Jacob"/>
        <s v="Taylor, Mrs. Elmer Zebley (Juliet Cummins Wright)"/>
        <s v="Brown, Mrs. Thomas William Solomon (Elizabeth Catherine Ford)"/>
        <s v="Davidson, Mr. Thornton"/>
        <s v="Mitchell, Mr. Henry Michael"/>
        <s v="Wilhelms, Mr. Charles"/>
        <s v="Watson, Mr. Ennis Hastings"/>
        <s v="Edvardsson, Mr. Gustaf Hjalmar"/>
        <s v="Sawyer, Mr. Frederick Charles"/>
        <s v="Turja, Miss. Anna Sofia"/>
        <s v="Goodwin, Mrs. Frederick (Augusta Tyler)"/>
        <s v="Cardeza, Mr. Thomas Drake Martinez"/>
        <s v="Peters, Miss. Katie"/>
        <s v="Hassab, Mr. Hammad"/>
        <s v="Olsvigen, Mr. Thor Anderson"/>
        <s v="Goodwin, Mr. Charles Edward"/>
        <s v="Brown, Mr. Thomas William Solomon"/>
        <s v="Laroche, Mr. Joseph Philippe Lemercier"/>
        <s v="Panula, Mr. Jaako Arnold"/>
        <s v="Dakic, Mr. Branko"/>
        <s v="Fischer, Mr. Eberhard Thelander"/>
        <s v="Madill, Miss. Georgette Alexandra"/>
        <s v="Dick, Mr. Albert Adrian"/>
        <s v="Karun, Miss. Manca"/>
        <s v="Lam, Mr. Ali"/>
        <s v="Saad, Mr. Khalil"/>
        <s v="Weir, Col. John"/>
        <s v="Chapman, Mr. Charles Henry"/>
        <s v="Kelly, Mr. James"/>
        <s v="Mullens, Miss. Katherine &quot;Katie&quot;"/>
        <s v="Thayer, Mr. John Borland"/>
        <s v="Humblen, Mr. Adolf Mathias Nicolai Olsen"/>
        <s v="Astor, Mrs. John Jacob (Madeleine Talmadge Force)"/>
        <s v="Silverthorne, Mr. Spencer Victor"/>
        <s v="Barbara, Miss. Saiide"/>
        <s v="Gallagher, Mr. Martin"/>
        <s v="Hansen, Mr. Henrik Juul"/>
        <s v="Morley, Mr. Henry Samuel (&quot;Mr Henry Marshall&quot;)"/>
        <s v="Kelly, Mrs. Florence &quot;Fannie&quot;"/>
        <s v="Calderhead, Mr. Edward Pennington"/>
        <s v="Cleaver, Miss. Alice"/>
        <s v="Moubarek, Master. Halim Gonios (&quot;William George&quot;)"/>
        <s v="Mayne, Mlle. Berthe Antonine (&quot;Mrs de Villiers&quot;)"/>
        <s v="Klaber, Mr. Herman"/>
        <s v="Taylor, Mr. Elmer Zebley"/>
        <s v="Larsson, Mr. August Viktor"/>
        <s v="Greenberg, Mr. Samuel"/>
        <s v="Soholt, Mr. Peter Andreas Lauritz Andersen"/>
        <s v="Endres, Miss. Caroline Louise"/>
        <s v="Troutt, Miss. Edwina Celia &quot;Winnie&quot;"/>
        <s v="McEvoy, Mr. Michael"/>
        <s v="Johnson, Mr. Malkolm Joackim"/>
        <s v="Harper, Miss. Annie Jessie &quot;Nina&quot;"/>
        <s v="Jensen, Mr. Svend Lauritz"/>
        <s v="Gillespie, Mr. William Henry"/>
        <s v="Hodges, Mr. Henry Price"/>
        <s v="Chambers, Mr. Norman Campbell"/>
        <s v="Oreskovic, Mr. Luka"/>
        <s v="Renouf, Mrs. Peter Henry (Lillian Jefferys)"/>
        <s v="Mannion, Miss. Margareth"/>
        <s v="Bryhl, Mr. Kurt Arnold Gottfrid"/>
        <s v="Ilmakangas, Miss. Pieta Sofia"/>
        <s v="Allen, Miss. Elisabeth Walton"/>
        <s v="Hassan, Mr. Houssein G N"/>
        <s v="Knight, Mr. Robert J"/>
        <s v="Berriman, Mr. William John"/>
        <s v="Troupiansky, Mr. Moses Aaron"/>
        <s v="Williams, Mr. Leslie"/>
        <s v="Ford, Mrs. Edward (Margaret Ann Watson)"/>
        <s v="Lesurer, Mr. Gustave J"/>
        <s v="Ivanoff, Mr. Kanio"/>
        <s v="Nankoff, Mr. Minko"/>
        <s v="Hawksford, Mr. Walter James"/>
        <s v="Cavendish, Mr. Tyrell William"/>
        <s v="Ryerson, Miss. Susan Parker &quot;Suzette&quot;"/>
        <s v="McNamee, Mr. Neal"/>
        <s v="Stranden, Mr. Juho"/>
        <s v="Crosby, Capt. Edward Gifford"/>
        <s v="Abbott, Mr. Rossmore Edward"/>
        <s v="Sinkkonen, Miss. Anna"/>
        <s v="Marvin, Mr. Daniel Warner"/>
        <s v="Connaghton, Mr. Michael"/>
        <s v="Wells, Miss. Joan"/>
        <s v="Moor, Master. Meier"/>
        <s v="Vande Velde, Mr. Johannes Joseph"/>
        <s v="Jonkoff, Mr. Lalio"/>
        <s v="Herman, Mrs. Samuel (Jane Laver)"/>
        <s v="Hamalainen, Master. Viljo"/>
        <s v="Carlsson, Mr. August Sigfrid"/>
        <s v="Bailey, Mr. Percy Andrew"/>
        <s v="Theobald, Mr. Thomas Leonard"/>
        <s v="Rothes, the Countess. of (Lucy Noel Martha Dyer-Edwards)"/>
        <s v="Garfirth, Mr. John"/>
        <s v="Nirva, Mr. Iisakki Antino Aijo"/>
        <s v="Barah, Mr. Hanna Assi"/>
        <s v="Carter, Mrs. William Ernest (Lucile Polk)"/>
        <s v="Eklund, Mr. Hans Linus"/>
        <s v="Hogeboom, Mrs. John C (Anna Andrews)"/>
        <s v="Brewe, Dr. Arthur Jackson"/>
        <s v="Mangan, Miss. Mary"/>
        <s v="Moran, Mr. Daniel J"/>
        <s v="Gronnestad, Mr. Daniel Danielsen"/>
        <s v="Lievens, Mr. Rene Aime"/>
        <s v="Jensen, Mr. Niels Peder"/>
        <s v="Mack, Mrs. (Mary)"/>
        <s v="Elias, Mr. Dibo"/>
        <s v="Hocking, Mrs. Elizabeth (Eliza Needs)"/>
        <s v="Myhrman, Mr. Pehr Fabian Oliver Malkolm"/>
        <s v="Tobin, Mr. Roger"/>
        <s v="Emanuel, Miss. Virginia Ethel"/>
        <s v="Kilgannon, Mr. Thomas J"/>
        <s v="Robert, Mrs. Edward Scott (Elisabeth Walton McMillan)"/>
        <s v="Ayoub, Miss. Banoura"/>
        <s v="Dick, Mrs. Albert Adrian (Vera Gillespie)"/>
        <s v="Long, Mr. Milton Clyde"/>
        <s v="Johnston, Mr. Andrew G"/>
        <s v="Ali, Mr. William"/>
        <s v="Harmer, Mr. Abraham (David Lishin)"/>
        <s v="Sjoblom, Miss. Anna Sofia"/>
        <s v="Rice, Master. George Hugh"/>
        <s v="Dean, Master. Bertram Vere"/>
        <s v="Guggenheim, Mr. Benjamin"/>
        <s v="Keane, Mr. Andrew &quot;Andy&quot;"/>
        <s v="Gaskell, Mr. Alfred"/>
        <s v="Sage, Miss. Stella Anna"/>
        <s v="Hoyt, Mr. William Fisher"/>
        <s v="Dantcheff, Mr. Ristiu"/>
        <s v="Otter, Mr. Richard"/>
        <s v="Leader, Dr. Alice (Farnham)"/>
        <s v="Osman, Mrs. Mara"/>
        <s v="Ibrahim Shawah, Mr. Yousseff"/>
        <s v="Van Impe, Mrs. Jean Baptiste (Rosalie Paula Govaert)"/>
        <s v="Ponesell, Mr. Martin"/>
        <s v="Collyer, Mrs. Harvey (Charlotte Annie Tate)"/>
        <s v="Carter, Master. William Thornton II"/>
        <s v="Thomas, Master. Assad Alexander"/>
        <s v="Hedman, Mr. Oskar Arvid"/>
        <s v="Johansson, Mr. Karl Johan"/>
        <s v="Andrews, Mr. Thomas Jr"/>
        <s v="Pettersson, Miss. Ellen Natalia"/>
        <s v="Meyer, Mr. August"/>
        <s v="Chambers, Mrs. Norman Campbell (Bertha Griggs)"/>
        <s v="Alexander, Mr. William"/>
        <s v="Lester, Mr. James"/>
        <s v="Slemen, Mr. Richard James"/>
        <s v="Andersson, Miss. Ebba Iris Alfrida"/>
        <s v="Tomlin, Mr. Ernest Portage"/>
        <s v="Fry, Mr. Richard"/>
        <s v="Heininen, Miss. Wendla Maria"/>
        <s v="Mallet, Mr. Albert"/>
        <s v="Holm, Mr. John Fredrik Alexander"/>
        <s v="Skoog, Master. Karl Thorsten"/>
        <s v="Hays, Mrs. Charles Melville (Clara Jennings Gregg)"/>
        <s v="Lulic, Mr. Nikola"/>
        <s v="Reuchlin, Jonkheer. John George"/>
        <s v="Moor, Mrs. (Beila)"/>
        <s v="Panula, Master. Urho Abraham"/>
        <s v="Flynn, Mr. John"/>
        <s v="Lam, Mr. Len"/>
        <s v="Mallet, Master. Andre"/>
        <s v="McCormack, Mr. Thomas Joseph"/>
        <s v="Stone, Mrs. George Nelson (Martha Evelyn)"/>
        <s v="Yasbeck, Mrs. Antoni (Selini Alexander)"/>
        <s v="Richards, Master. George Sibley"/>
        <s v="Saad, Mr. Amin"/>
        <s v="Augustsson, Mr. Albert"/>
        <s v="Allum, Mr. Owen George"/>
        <s v="Compton, Miss. Sara Rebecca"/>
        <s v="Pasic, Mr. Jakob"/>
        <s v="Sirota, Mr. Maurice"/>
        <s v="Chip, Mr. Chang"/>
        <s v="Marechal, Mr. Pierre"/>
        <s v="Alhomaki, Mr. Ilmari Rudolf"/>
        <s v="Mudd, Mr. Thomas Charles"/>
        <s v="Serepeca, Miss. Augusta"/>
        <s v="Lemberopolous, Mr. Peter L"/>
        <s v="Culumovic, Mr. Jeso"/>
        <s v="Abbing, Mr. Anthony"/>
        <s v="Sage, Mr. Douglas Bullen"/>
        <s v="Markoff, Mr. Marin"/>
        <s v="Harper, Rev. John"/>
        <s v="Goldenberg, Mrs. Samuel L (Edwiga Grabowska)"/>
        <s v="Andersson, Master. Sigvard Harald Elias"/>
        <s v="Svensson, Mr. Johan"/>
        <s v="Boulos, Miss. Nourelain"/>
        <s v="Lines, Miss. Mary Conover"/>
        <s v="Carter, Mrs. Ernest Courtenay (Lilian Hughes)"/>
        <s v="Aks, Mrs. Sam (Leah Rosen)"/>
        <s v="Wick, Mrs. George Dennick (Mary Hitchcock)"/>
        <s v="Daly, Mr. Peter Denis "/>
        <s v="Baclini, Mrs. Solomon (Latifa Qurban)"/>
        <s v="Razi, Mr. Raihed"/>
        <s v="Hansen, Mr. Claus Peter"/>
        <s v="Giles, Mr. Frederick Edward"/>
        <s v="Swift, Mrs. Frederick Joel (Margaret Welles Barron)"/>
        <s v="Sage, Miss. Dorothy Edith &quot;Dolly&quot;"/>
        <s v="Gill, Mr. John William"/>
        <s v="Bystrom, Mrs. (Karolina)"/>
        <s v="Duran y More, Miss. Asuncion"/>
        <s v="Roebling, Mr. Washington Augustus II"/>
        <s v="van Melkebeke, Mr. Philemon"/>
        <s v="Johnson, Master. Harold Theodor"/>
        <s v="Balkic, Mr. Cerin"/>
        <s v="Beckwith, Mrs. Richard Leonard (Sallie Monypeny)"/>
        <s v="Carlsson, Mr. Frans Olof"/>
        <s v="Vander Cruyssen, Mr. Victor"/>
        <s v="Abelson, Mrs. Samuel (Hannah Wizosky)"/>
        <s v="Najib, Miss. Adele Kiamie &quot;Jane&quot;"/>
        <s v="Gustafsson, Mr. Alfred Ossian"/>
        <s v="Petroff, Mr. Nedelio"/>
        <s v="Laleff, Mr. Kristo"/>
        <s v="Potter, Mrs. Thomas Jr (Lily Alexenia Wilson)"/>
        <s v="Shelley, Mrs. William (Imanita Parrish Hall)"/>
        <s v="Markun, Mr. Johann"/>
        <s v="Dahlberg, Miss. Gerda Ulrika"/>
        <s v="Banfield, Mr. Frederick James"/>
        <s v="Sutehall, Mr. Henry Jr"/>
        <s v="Rice, Mrs. William (Margaret Norton)"/>
        <s v="Montvila, Rev. Juozas"/>
        <s v="Graham, Miss. Margaret Edith"/>
        <s v="Johnston, Miss. Catherine Helen &quot;Carrie&quot;"/>
        <s v="Behr, Mr. Karl Howell"/>
        <s v="Dooley, Mr. Patrick"/>
      </sharedItems>
    </cacheField>
    <cacheField name="Sex" numFmtId="0">
      <sharedItems count="2">
        <s v="male"/>
        <s v="female"/>
      </sharedItems>
    </cacheField>
    <cacheField name="Age" numFmtId="0">
      <sharedItems containsString="0" containsBlank="1" containsNumber="1" minValue="0.42" maxValue="80" count="89">
        <n v="22"/>
        <n v="38"/>
        <n v="26"/>
        <n v="35"/>
        <m/>
        <n v="54"/>
        <n v="2"/>
        <n v="27"/>
        <n v="14"/>
        <n v="4"/>
        <n v="58"/>
        <n v="20"/>
        <n v="39"/>
        <n v="55"/>
        <n v="31"/>
        <n v="34"/>
        <n v="15"/>
        <n v="28"/>
        <n v="8"/>
        <n v="19"/>
        <n v="40"/>
        <n v="66"/>
        <n v="42"/>
        <n v="21"/>
        <n v="18"/>
        <n v="3"/>
        <n v="7"/>
        <n v="49"/>
        <n v="29"/>
        <n v="65"/>
        <n v="28.5"/>
        <n v="5"/>
        <n v="11"/>
        <n v="45"/>
        <n v="17"/>
        <n v="32"/>
        <n v="16"/>
        <n v="25"/>
        <n v="0.83"/>
        <n v="30"/>
        <n v="33"/>
        <n v="23"/>
        <n v="24"/>
        <n v="46"/>
        <n v="59"/>
        <n v="71"/>
        <n v="37"/>
        <n v="47"/>
        <n v="14.5"/>
        <n v="70.5"/>
        <n v="32.5"/>
        <n v="12"/>
        <n v="9"/>
        <n v="36.5"/>
        <n v="51"/>
        <n v="55.5"/>
        <n v="40.5"/>
        <n v="44"/>
        <n v="1"/>
        <n v="61"/>
        <n v="56"/>
        <n v="50"/>
        <n v="36"/>
        <n v="45.5"/>
        <n v="20.5"/>
        <n v="62"/>
        <n v="41"/>
        <n v="52"/>
        <n v="63"/>
        <n v="23.5"/>
        <n v="0.92"/>
        <n v="43"/>
        <n v="60"/>
        <n v="10"/>
        <n v="64"/>
        <n v="13"/>
        <n v="48"/>
        <n v="0.75"/>
        <n v="53"/>
        <n v="57"/>
        <n v="80"/>
        <n v="70"/>
        <n v="24.5"/>
        <n v="6"/>
        <n v="0.67"/>
        <n v="30.5"/>
        <n v="0.42"/>
        <n v="34.5"/>
        <n v="74"/>
      </sharedItems>
    </cacheField>
    <cacheField name="SibSp" numFmtId="0">
      <sharedItems containsSemiMixedTypes="0" containsString="0" containsNumber="1" containsInteger="1" minValue="0" maxValue="8" count="7">
        <n v="1"/>
        <n v="0"/>
        <n v="3"/>
        <n v="4"/>
        <n v="2"/>
        <n v="5"/>
        <n v="8"/>
      </sharedItems>
    </cacheField>
    <cacheField name="Parch" numFmtId="0">
      <sharedItems containsSemiMixedTypes="0" containsString="0" containsNumber="1" containsInteger="1" minValue="0" maxValue="6" count="7">
        <n v="0"/>
        <n v="1"/>
        <n v="2"/>
        <n v="5"/>
        <n v="3"/>
        <n v="4"/>
        <n v="6"/>
      </sharedItems>
    </cacheField>
    <cacheField name="Ticket" numFmtId="0">
      <sharedItems containsNumber="1" containsInteger="1" containsMixedTypes="1" count="681">
        <s v="A/5 21171"/>
        <s v="PC 17599"/>
        <s v="STON/O2. 3101282"/>
        <n v="113803"/>
        <n v="373450"/>
        <n v="330877"/>
        <n v="17463"/>
        <n v="349909"/>
        <n v="347742"/>
        <n v="237736"/>
        <s v="PP 9549"/>
        <n v="113783"/>
        <s v="A/5. 2151"/>
        <n v="347082"/>
        <n v="350406"/>
        <n v="248706"/>
        <n v="382652"/>
        <n v="244373"/>
        <n v="345763"/>
        <n v="2649"/>
        <n v="239865"/>
        <n v="248698"/>
        <n v="330923"/>
        <n v="113788"/>
        <n v="347077"/>
        <n v="2631"/>
        <n v="19950"/>
        <n v="330959"/>
        <n v="349216"/>
        <s v="PC 17601"/>
        <s v="PC 17569"/>
        <n v="335677"/>
        <s v="C.A. 24579"/>
        <s v="PC 17604"/>
        <n v="113789"/>
        <n v="2677"/>
        <s v="A./5. 2152"/>
        <n v="345764"/>
        <n v="2651"/>
        <n v="7546"/>
        <n v="11668"/>
        <n v="349253"/>
        <s v="SC/Paris 2123"/>
        <n v="330958"/>
        <s v="S.C./A.4. 23567"/>
        <n v="370371"/>
        <n v="14311"/>
        <n v="2662"/>
        <n v="349237"/>
        <n v="3101295"/>
        <s v="A/4. 39886"/>
        <s v="PC 17572"/>
        <n v="2926"/>
        <n v="113509"/>
        <n v="19947"/>
        <s v="C.A. 31026"/>
        <n v="2697"/>
        <s v="C.A. 34651"/>
        <s v="CA 2144"/>
        <n v="2669"/>
        <n v="113572"/>
        <n v="36973"/>
        <n v="347088"/>
        <s v="PC 17605"/>
        <n v="2661"/>
        <s v="C.A. 29395"/>
        <s v="S.P. 3464"/>
        <n v="3101281"/>
        <n v="315151"/>
        <s v="C.A. 33111"/>
        <s v="S.O.C. 14879"/>
        <n v="2680"/>
        <n v="1601"/>
        <n v="348123"/>
        <n v="349208"/>
        <n v="374746"/>
        <n v="248738"/>
        <n v="364516"/>
        <n v="345767"/>
        <n v="345779"/>
        <n v="330932"/>
        <n v="113059"/>
        <s v="SO/C 14885"/>
        <n v="3101278"/>
        <s v="W./C. 6608"/>
        <s v="SOTON/OQ 392086"/>
        <n v="343275"/>
        <n v="343276"/>
        <n v="347466"/>
        <s v="W.E.P. 5734"/>
        <s v="C.A. 2315"/>
        <n v="364500"/>
        <n v="374910"/>
        <s v="PC 17754"/>
        <s v="PC 17759"/>
        <n v="231919"/>
        <n v="244367"/>
        <n v="349245"/>
        <n v="349215"/>
        <n v="35281"/>
        <n v="7540"/>
        <n v="3101276"/>
        <n v="349207"/>
        <n v="343120"/>
        <n v="312991"/>
        <n v="349249"/>
        <n v="371110"/>
        <n v="110465"/>
        <n v="2665"/>
        <n v="324669"/>
        <n v="4136"/>
        <n v="2627"/>
        <s v="STON/O 2. 3101294"/>
        <n v="370369"/>
        <s v="PC 17558"/>
        <s v="A4. 54510"/>
        <n v="27267"/>
        <n v="370372"/>
        <s v="C 17369"/>
        <n v="2668"/>
        <n v="347061"/>
        <n v="349241"/>
        <s v="SOTON/O.Q. 3101307"/>
        <s v="A/5. 3337"/>
        <n v="228414"/>
        <s v="C.A. 29178"/>
        <s v="SC/PARIS 2133"/>
        <n v="11752"/>
        <n v="7534"/>
        <s v="PC 17593"/>
        <n v="2678"/>
        <n v="347081"/>
        <s v="STON/O2. 3101279"/>
        <n v="365222"/>
        <n v="231945"/>
        <s v="C.A. 33112"/>
        <n v="350043"/>
        <n v="230080"/>
        <n v="244310"/>
        <s v="S.O.P. 1166"/>
        <n v="113776"/>
        <s v="A.5. 11206"/>
        <s v="A/5. 851"/>
        <s v="Fa 265302"/>
        <s v="PC 17597"/>
        <n v="35851"/>
        <s v="SOTON/OQ 392090"/>
        <n v="315037"/>
        <s v="CA. 2343"/>
        <n v="371362"/>
        <s v="C.A. 33595"/>
        <n v="347068"/>
        <n v="315093"/>
        <n v="363291"/>
        <n v="113505"/>
        <s v="PC 17318"/>
        <n v="111240"/>
        <s v="STON/O 2. 3101280"/>
        <n v="17764"/>
        <n v="350404"/>
        <n v="4133"/>
        <s v="PC 17595"/>
        <n v="250653"/>
        <s v="LINE"/>
        <s v="SC/PARIS 2131"/>
        <n v="230136"/>
        <n v="315153"/>
        <n v="113767"/>
        <n v="370365"/>
        <n v="111428"/>
        <n v="364849"/>
        <n v="349247"/>
        <n v="234604"/>
        <n v="28424"/>
        <n v="350046"/>
        <s v="PC 17610"/>
        <n v="368703"/>
        <n v="4579"/>
        <n v="370370"/>
        <n v="248747"/>
        <n v="345770"/>
        <n v="3101264"/>
        <n v="2628"/>
        <s v="A/5 3540"/>
        <n v="347054"/>
        <n v="2699"/>
        <n v="367231"/>
        <n v="112277"/>
        <s v="SOTON/O.Q. 3101311"/>
        <s v="F.C.C. 13528"/>
        <s v="A/5 21174"/>
        <n v="250646"/>
        <n v="367229"/>
        <n v="35273"/>
        <s v="STON/O2. 3101283"/>
        <n v="243847"/>
        <n v="11813"/>
        <s v="W/C 14208"/>
        <s v="SOTON/OQ 392089"/>
        <n v="220367"/>
        <n v="21440"/>
        <n v="349234"/>
        <n v="19943"/>
        <s v="PP 4348"/>
        <s v="SW/PP 751"/>
        <s v="A/5 21173"/>
        <n v="236171"/>
        <n v="347067"/>
        <n v="237442"/>
        <s v="C.A. 29566"/>
        <s v="W./C. 6609"/>
        <n v="26707"/>
        <s v="C.A. 31921"/>
        <n v="28665"/>
        <s v="SCO/W 1585"/>
        <n v="367230"/>
        <s v="W./C. 14263"/>
        <s v="STON/O 2. 3101275"/>
        <n v="2694"/>
        <n v="19928"/>
        <n v="347071"/>
        <n v="250649"/>
        <n v="11751"/>
        <n v="244252"/>
        <n v="362316"/>
        <n v="113514"/>
        <s v="A/5. 3336"/>
        <n v="370129"/>
        <n v="2650"/>
        <s v="PC 17585"/>
        <n v="110152"/>
        <s v="PC 17755"/>
        <n v="230433"/>
        <n v="384461"/>
        <n v="110413"/>
        <n v="112059"/>
        <n v="382649"/>
        <s v="C.A. 17248"/>
        <n v="347083"/>
        <s v="PC 17582"/>
        <s v="PC 17760"/>
        <n v="113798"/>
        <n v="250644"/>
        <s v="PC 17596"/>
        <n v="370375"/>
        <n v="13502"/>
        <n v="347073"/>
        <n v="239853"/>
        <s v="C.A. 2673"/>
        <n v="336439"/>
        <n v="347464"/>
        <n v="345778"/>
        <s v="A/5. 10482"/>
        <n v="113056"/>
        <n v="349239"/>
        <n v="345774"/>
        <n v="349206"/>
        <n v="237798"/>
        <n v="370373"/>
        <n v="19877"/>
        <n v="11967"/>
        <s v="SC/Paris 2163"/>
        <n v="349236"/>
        <n v="349233"/>
        <s v="PC 17612"/>
        <n v="2693"/>
        <n v="113781"/>
        <n v="19988"/>
        <n v="9234"/>
        <n v="367226"/>
        <n v="226593"/>
        <s v="A/5 2466"/>
        <n v="17421"/>
        <s v="PC 17758"/>
        <s v="P/PP 3381"/>
        <s v="PC 17485"/>
        <n v="11767"/>
        <s v="PC 17608"/>
        <n v="250651"/>
        <n v="349243"/>
        <s v="F.C.C. 13529"/>
        <n v="347470"/>
        <n v="29011"/>
        <n v="36928"/>
        <n v="16966"/>
        <s v="A/5 21172"/>
        <n v="349219"/>
        <n v="234818"/>
        <n v="345364"/>
        <n v="28551"/>
        <n v="111361"/>
        <n v="113043"/>
        <s v="PC 17611"/>
        <n v="349225"/>
        <n v="7598"/>
        <n v="113784"/>
        <n v="248740"/>
        <n v="244361"/>
        <n v="229236"/>
        <n v="248733"/>
        <n v="31418"/>
        <n v="386525"/>
        <s v="C.A. 37671"/>
        <n v="315088"/>
        <n v="7267"/>
        <n v="113510"/>
        <n v="2695"/>
        <n v="2647"/>
        <n v="345783"/>
        <n v="237671"/>
        <n v="330931"/>
        <n v="330980"/>
        <s v="SC/PARIS 2167"/>
        <n v="2691"/>
        <s v="SOTON/O.Q. 3101310"/>
        <s v="C 7076"/>
        <n v="110813"/>
        <n v="2626"/>
        <n v="14313"/>
        <s v="PC 17477"/>
        <n v="11765"/>
        <n v="3101267"/>
        <n v="323951"/>
        <s v="C 7077"/>
        <n v="113503"/>
        <n v="2648"/>
        <n v="347069"/>
        <s v="PC 17757"/>
        <n v="2653"/>
        <s v="STON/O 2. 3101293"/>
        <n v="349227"/>
        <n v="27849"/>
        <n v="367655"/>
        <s v="SC 1748"/>
        <n v="113760"/>
        <n v="350034"/>
        <n v="3101277"/>
        <n v="350052"/>
        <n v="350407"/>
        <n v="28403"/>
        <n v="244278"/>
        <n v="240929"/>
        <s v="STON/O 2. 3101289"/>
        <n v="341826"/>
        <n v="4137"/>
        <n v="315096"/>
        <n v="28664"/>
        <n v="347064"/>
        <n v="29106"/>
        <n v="312992"/>
        <n v="349222"/>
        <n v="394140"/>
        <s v="STON/O 2. 3101269"/>
        <n v="343095"/>
        <n v="28220"/>
        <n v="250652"/>
        <n v="28228"/>
        <n v="345773"/>
        <n v="349254"/>
        <s v="A/5. 13032"/>
        <n v="315082"/>
        <n v="347080"/>
        <s v="A/4. 34244"/>
        <n v="2003"/>
        <n v="250655"/>
        <n v="364851"/>
        <s v="SOTON/O.Q. 392078"/>
        <n v="110564"/>
        <n v="376564"/>
        <s v="SC/AH 3085"/>
        <s v="STON/O 2. 3101274"/>
        <n v="13507"/>
        <s v="C.A. 18723"/>
        <n v="345769"/>
        <n v="347076"/>
        <n v="230434"/>
        <n v="65306"/>
        <n v="33638"/>
        <n v="113794"/>
        <n v="2666"/>
        <n v="113786"/>
        <n v="65303"/>
        <n v="113051"/>
        <n v="17453"/>
        <s v="A/5 2817"/>
        <n v="349240"/>
        <n v="13509"/>
        <n v="17464"/>
        <s v="F.C.C. 13531"/>
        <n v="371060"/>
        <n v="19952"/>
        <n v="364506"/>
        <n v="111320"/>
        <n v="234360"/>
        <s v="A/S 2816"/>
        <s v="SOTON/O.Q. 3101306"/>
        <n v="113792"/>
        <n v="36209"/>
        <n v="323592"/>
        <n v="315089"/>
        <s v="SC/AH Basle 541"/>
        <n v="7553"/>
        <n v="31027"/>
        <n v="3460"/>
        <n v="350060"/>
        <n v="3101298"/>
        <n v="239854"/>
        <s v="A/5 3594"/>
        <n v="4134"/>
        <n v="11771"/>
        <s v="A.5. 18509"/>
        <n v="65304"/>
        <s v="SOTON/OQ 3101317"/>
        <n v="113787"/>
        <s v="PC 17609"/>
        <s v="A/4 45380"/>
        <n v="36947"/>
        <s v="C.A. 6212"/>
        <n v="350035"/>
        <n v="315086"/>
        <n v="364846"/>
        <n v="330909"/>
        <n v="4135"/>
        <n v="26360"/>
        <n v="111427"/>
        <s v="C 4001"/>
        <n v="382651"/>
        <s v="SOTON/OQ 3101316"/>
        <s v="PC 17473"/>
        <s v="PC 17603"/>
        <n v="349209"/>
        <n v="36967"/>
        <s v="C.A. 34260"/>
        <n v="226875"/>
        <n v="349242"/>
        <n v="12749"/>
        <n v="349252"/>
        <n v="2624"/>
        <n v="2700"/>
        <n v="367232"/>
        <s v="W./C. 14258"/>
        <s v="PC 17483"/>
        <n v="3101296"/>
        <n v="29104"/>
        <n v="2641"/>
        <n v="2690"/>
        <n v="315084"/>
        <n v="113050"/>
        <s v="PC 17761"/>
        <n v="364498"/>
        <n v="13568"/>
        <s v="WE/P 5735"/>
        <n v="2908"/>
        <n v="693"/>
        <s v="SC/PARIS 2146"/>
        <n v="244358"/>
        <n v="330979"/>
        <n v="2620"/>
        <n v="347085"/>
        <n v="113807"/>
        <n v="11755"/>
        <n v="345572"/>
        <n v="372622"/>
        <n v="349251"/>
        <n v="218629"/>
        <s v="SOTON/OQ 392082"/>
        <s v="SOTON/O.Q. 392087"/>
        <s v="A/4 48871"/>
        <n v="349205"/>
        <n v="2686"/>
        <n v="350417"/>
        <s v="S.W./PP 752"/>
        <n v="11769"/>
        <s v="PC 17474"/>
        <n v="14312"/>
        <s v="A/4. 20589"/>
        <n v="358585"/>
        <n v="243880"/>
        <n v="2689"/>
        <s v="STON/O 2. 3101286"/>
        <n v="237789"/>
        <n v="13049"/>
        <n v="3411"/>
        <n v="237565"/>
        <n v="13567"/>
        <n v="14973"/>
        <s v="A./5. 3235"/>
        <s v="STON/O 2. 3101273"/>
        <s v="A/5 3902"/>
        <n v="364848"/>
        <s v="SC/AH 29037"/>
        <n v="248727"/>
        <n v="2664"/>
        <n v="349214"/>
        <n v="113796"/>
        <n v="364511"/>
        <n v="111426"/>
        <n v="349910"/>
        <n v="349246"/>
        <n v="113804"/>
        <s v="SOTON/O.Q. 3101305"/>
        <n v="370377"/>
        <n v="364512"/>
        <n v="220845"/>
        <n v="31028"/>
        <n v="2659"/>
        <n v="11753"/>
        <n v="350029"/>
        <n v="54636"/>
        <n v="36963"/>
        <n v="219533"/>
        <n v="349224"/>
        <n v="334912"/>
        <n v="27042"/>
        <n v="347743"/>
        <n v="13214"/>
        <n v="112052"/>
        <n v="237668"/>
        <s v="STON/O 2. 3101292"/>
        <n v="350050"/>
        <n v="349231"/>
        <n v="13213"/>
        <s v="S.O./P.P. 751"/>
        <s v="CA. 2314"/>
        <n v="349221"/>
        <n v="8475"/>
        <n v="330919"/>
        <n v="365226"/>
        <n v="349223"/>
        <n v="29751"/>
        <n v="2623"/>
        <n v="5727"/>
        <n v="349210"/>
        <s v="STON/O 2. 3101285"/>
        <n v="234686"/>
        <n v="312993"/>
        <s v="A/5 3536"/>
        <n v="19996"/>
        <n v="29750"/>
        <s v="F.C. 12750"/>
        <s v="C.A. 24580"/>
        <n v="244270"/>
        <n v="239856"/>
        <n v="349912"/>
        <n v="342826"/>
        <n v="4138"/>
        <n v="330935"/>
        <n v="6563"/>
        <n v="349228"/>
        <n v="350036"/>
        <n v="24160"/>
        <n v="17474"/>
        <n v="349256"/>
        <n v="2672"/>
        <n v="113800"/>
        <n v="248731"/>
        <n v="363592"/>
        <n v="35852"/>
        <n v="348121"/>
        <s v="PC 17475"/>
        <n v="36864"/>
        <n v="350025"/>
        <n v="223596"/>
        <s v="PC 17476"/>
        <s v="PC 17482"/>
        <n v="113028"/>
        <n v="7545"/>
        <n v="250647"/>
        <n v="348124"/>
        <n v="34218"/>
        <n v="36568"/>
        <n v="347062"/>
        <n v="350048"/>
        <n v="12233"/>
        <n v="250643"/>
        <n v="113806"/>
        <n v="315094"/>
        <n v="36866"/>
        <n v="236853"/>
        <s v="STON/O2. 3101271"/>
        <n v="239855"/>
        <n v="28425"/>
        <n v="233639"/>
        <n v="349201"/>
        <n v="349218"/>
        <n v="16988"/>
        <n v="376566"/>
        <s v="STON/O 2. 3101288"/>
        <n v="250648"/>
        <n v="113773"/>
        <n v="335097"/>
        <n v="29103"/>
        <n v="392096"/>
        <n v="345780"/>
        <n v="349204"/>
        <n v="350042"/>
        <n v="29108"/>
        <n v="363294"/>
        <s v="SOTON/O2 3101272"/>
        <n v="2663"/>
        <n v="347074"/>
        <n v="112379"/>
        <n v="364850"/>
        <n v="8471"/>
        <n v="345781"/>
        <n v="350047"/>
        <s v="S.O./P.P. 3"/>
        <n v="2674"/>
        <n v="29105"/>
        <n v="347078"/>
        <n v="383121"/>
        <n v="36865"/>
        <n v="2687"/>
        <n v="113501"/>
        <s v="W./C. 6607"/>
        <s v="SOTON/O.Q. 3101312"/>
        <n v="374887"/>
        <n v="3101265"/>
        <n v="12460"/>
        <s v="PC 17600"/>
        <n v="349203"/>
        <n v="28213"/>
        <n v="17465"/>
        <n v="349244"/>
        <n v="2685"/>
        <n v="2625"/>
        <n v="347089"/>
        <n v="347063"/>
        <n v="112050"/>
        <n v="347087"/>
        <n v="248723"/>
        <n v="3474"/>
        <n v="28206"/>
        <n v="364499"/>
        <n v="112058"/>
        <s v="STON/O2. 3101290"/>
        <s v="S.C./PARIS 2079"/>
        <s v="C 7075"/>
        <n v="315098"/>
        <n v="19972"/>
        <n v="368323"/>
        <n v="367228"/>
        <n v="2671"/>
        <n v="347468"/>
        <n v="2223"/>
        <s v="PC 17756"/>
        <n v="315097"/>
        <n v="392092"/>
        <n v="11774"/>
        <s v="SOTON/O2 3101287"/>
        <n v="2683"/>
        <n v="315090"/>
        <s v="C.A. 5547"/>
        <n v="349213"/>
        <n v="347060"/>
        <s v="PC 17592"/>
        <n v="392091"/>
        <n v="113055"/>
        <n v="2629"/>
        <n v="350026"/>
        <n v="28134"/>
        <n v="17466"/>
        <n v="233866"/>
        <n v="236852"/>
        <s v="SC/PARIS 2149"/>
        <s v="PC 17590"/>
        <n v="345777"/>
        <n v="349248"/>
        <n v="695"/>
        <n v="345765"/>
        <n v="2667"/>
        <n v="349212"/>
        <n v="349217"/>
        <n v="349257"/>
        <n v="7552"/>
        <s v="C.A./SOTON 34068"/>
        <s v="SOTON/OQ 392076"/>
        <n v="211536"/>
        <n v="112053"/>
        <n v="111369"/>
        <n v="370376"/>
      </sharedItems>
    </cacheField>
    <cacheField name="Fare" numFmtId="0">
      <sharedItems containsSemiMixedTypes="0" containsString="0" containsNumber="1" minValue="0" maxValue="512.3292" count="248">
        <n v="7.25"/>
        <n v="71.2833"/>
        <n v="7.925"/>
        <n v="53.1"/>
        <n v="8.05"/>
        <n v="8.4583"/>
        <n v="51.8625"/>
        <n v="21.075"/>
        <n v="11.1333"/>
        <n v="30.0708"/>
        <n v="16.7"/>
        <n v="26.55"/>
        <n v="31.275"/>
        <n v="7.8542"/>
        <n v="16"/>
        <n v="29.125"/>
        <n v="13"/>
        <n v="18"/>
        <n v="7.225"/>
        <n v="26"/>
        <n v="8.0292"/>
        <n v="35.5"/>
        <n v="31.3875"/>
        <n v="263"/>
        <n v="7.8792"/>
        <n v="7.8958"/>
        <n v="27.7208"/>
        <n v="146.5208"/>
        <n v="7.75"/>
        <n v="10.5"/>
        <n v="82.1708"/>
        <n v="52"/>
        <n v="7.2292"/>
        <n v="11.2417"/>
        <n v="9.475"/>
        <n v="21"/>
        <n v="41.5792"/>
        <n v="15.5"/>
        <n v="21.6792"/>
        <n v="17.8"/>
        <n v="39.6875"/>
        <n v="7.8"/>
        <n v="76.7292"/>
        <n v="61.9792"/>
        <n v="27.75"/>
        <n v="46.9"/>
        <n v="80"/>
        <n v="83.475"/>
        <n v="27.9"/>
        <n v="15.2458"/>
        <n v="8.1583"/>
        <n v="8.6625"/>
        <n v="73.5"/>
        <n v="14.4542"/>
        <n v="56.4958"/>
        <n v="7.65"/>
        <n v="29"/>
        <n v="12.475"/>
        <n v="9"/>
        <n v="9.5"/>
        <n v="7.7875"/>
        <n v="47.1"/>
        <n v="15.85"/>
        <n v="34.375"/>
        <n v="61.175"/>
        <n v="20.575"/>
        <n v="34.6542"/>
        <n v="63.3583"/>
        <n v="23"/>
        <n v="77.2875"/>
        <n v="8.6542"/>
        <n v="7.775"/>
        <n v="24.15"/>
        <n v="9.825"/>
        <n v="14.4583"/>
        <n v="247.5208"/>
        <n v="7.1417"/>
        <n v="22.3583"/>
        <n v="6.975"/>
        <n v="7.05"/>
        <n v="14.5"/>
        <n v="15.0458"/>
        <n v="26.2833"/>
        <n v="9.2167"/>
        <n v="79.2"/>
        <n v="6.75"/>
        <n v="11.5"/>
        <n v="36.75"/>
        <n v="7.7958"/>
        <n v="12.525"/>
        <n v="66.6"/>
        <n v="7.3125"/>
        <n v="61.3792"/>
        <n v="7.7333"/>
        <n v="69.55"/>
        <n v="16.1"/>
        <n v="15.75"/>
        <n v="20.525"/>
        <n v="55"/>
        <n v="25.925"/>
        <n v="33.5"/>
        <n v="30.6958"/>
        <n v="25.4667"/>
        <n v="28.7125"/>
        <n v="0"/>
        <n v="15.05"/>
        <n v="39"/>
        <n v="22.025"/>
        <n v="50"/>
        <n v="8.4042"/>
        <n v="6.4958"/>
        <n v="10.4625"/>
        <n v="18.7875"/>
        <n v="31"/>
        <n v="113.275"/>
        <n v="27"/>
        <n v="76.2917"/>
        <n v="90"/>
        <n v="9.35"/>
        <n v="13.5"/>
        <n v="7.55"/>
        <n v="26.25"/>
        <n v="12.275"/>
        <n v="7.125"/>
        <n v="52.5542"/>
        <n v="20.2125"/>
        <n v="86.5"/>
        <n v="512.3292"/>
        <n v="79.65"/>
        <n v="153.4625"/>
        <n v="135.6333"/>
        <n v="19.5"/>
        <n v="29.7"/>
        <n v="77.9583"/>
        <n v="20.25"/>
        <n v="78.85"/>
        <n v="91.0792"/>
        <n v="12.875"/>
        <n v="8.85"/>
        <n v="151.55"/>
        <n v="30.5"/>
        <n v="23.25"/>
        <n v="12.35"/>
        <n v="110.8833"/>
        <n v="108.9"/>
        <n v="24"/>
        <n v="56.9292"/>
        <n v="83.1583"/>
        <n v="262.375"/>
        <n v="14"/>
        <n v="164.8667"/>
        <n v="134.5"/>
        <n v="6.2375"/>
        <n v="57.9792"/>
        <n v="28.5"/>
        <n v="133.65"/>
        <n v="15.9"/>
        <n v="9.225"/>
        <n v="35"/>
        <n v="75.25"/>
        <n v="69.3"/>
        <n v="55.4417"/>
        <n v="211.5"/>
        <n v="4.0125"/>
        <n v="227.525"/>
        <n v="15.7417"/>
        <n v="7.7292"/>
        <n v="12"/>
        <n v="120"/>
        <n v="12.65"/>
        <n v="18.75"/>
        <n v="6.8583"/>
        <n v="32.5"/>
        <n v="7.875"/>
        <n v="14.4"/>
        <n v="55.9"/>
        <n v="8.1125"/>
        <n v="81.8583"/>
        <n v="19.2583"/>
        <n v="19.9667"/>
        <n v="89.1042"/>
        <n v="38.5"/>
        <n v="7.725"/>
        <n v="13.7917"/>
        <n v="9.8375"/>
        <n v="7.0458"/>
        <n v="7.5208"/>
        <n v="12.2875"/>
        <n v="9.5875"/>
        <n v="49.5042"/>
        <n v="78.2667"/>
        <n v="15.1"/>
        <n v="7.6292"/>
        <n v="22.525"/>
        <n v="26.2875"/>
        <n v="59.4"/>
        <n v="7.4958"/>
        <n v="34.0208"/>
        <n v="93.5"/>
        <n v="221.7792"/>
        <n v="106.425"/>
        <n v="49.5"/>
        <n v="71"/>
        <n v="13.8625"/>
        <n v="7.8292"/>
        <n v="39.6"/>
        <n v="17.4"/>
        <n v="51.4792"/>
        <n v="26.3875"/>
        <n v="30"/>
        <n v="40.125"/>
        <n v="8.7125"/>
        <n v="15"/>
        <n v="33"/>
        <n v="42.4"/>
        <n v="15.55"/>
        <n v="65"/>
        <n v="32.3208"/>
        <n v="7.0542"/>
        <n v="8.4333"/>
        <n v="25.5875"/>
        <n v="9.8417"/>
        <n v="8.1375"/>
        <n v="10.1708"/>
        <n v="211.3375"/>
        <n v="57"/>
        <n v="13.4167"/>
        <n v="7.7417"/>
        <n v="9.4833"/>
        <n v="7.7375"/>
        <n v="8.3625"/>
        <n v="23.45"/>
        <n v="25.9292"/>
        <n v="8.6833"/>
        <n v="8.5167"/>
        <n v="7.8875"/>
        <n v="37.0042"/>
        <n v="6.45"/>
        <n v="6.95"/>
        <n v="8.3"/>
        <n v="6.4375"/>
        <n v="39.4"/>
        <n v="14.1083"/>
        <n v="13.8583"/>
        <n v="50.4958"/>
        <n v="5"/>
        <n v="9.8458"/>
        <n v="10.5167"/>
      </sharedItems>
    </cacheField>
    <cacheField name="Cabin" numFmtId="0">
      <sharedItems containsBlank="1" count="148">
        <m/>
        <s v="C85"/>
        <s v="C123"/>
        <s v="E46"/>
        <s v="G6"/>
        <s v="C103"/>
        <s v="D56"/>
        <s v="A6"/>
        <s v="C23 C25 C27"/>
        <s v="B78"/>
        <s v="D33"/>
        <s v="B30"/>
        <s v="C52"/>
        <s v="B28"/>
        <s v="C83"/>
        <s v="F33"/>
        <s v="F G73"/>
        <s v="E31"/>
        <s v="A5"/>
        <s v="D10 D12"/>
        <s v="D26"/>
        <s v="C110"/>
        <s v="B58 B60"/>
        <s v="E101"/>
        <s v="F E69"/>
        <s v="D47"/>
        <s v="B86"/>
        <s v="F2"/>
        <s v="C2"/>
        <s v="E33"/>
        <s v="B19"/>
        <s v="A7"/>
        <s v="C49"/>
        <s v="F4"/>
        <s v="A32"/>
        <s v="B4"/>
        <s v="B80"/>
        <s v="A31"/>
        <s v="D36"/>
        <s v="D15"/>
        <s v="C93"/>
        <s v="C78"/>
        <s v="D35"/>
        <s v="C87"/>
        <s v="B77"/>
        <s v="E67"/>
        <s v="B94"/>
        <s v="C125"/>
        <s v="C99"/>
        <s v="C118"/>
        <s v="D7"/>
        <s v="A19"/>
        <s v="B49"/>
        <s v="D"/>
        <s v="C22 C26"/>
        <s v="C106"/>
        <s v="C65"/>
        <s v="E36"/>
        <s v="C54"/>
        <s v="B57 B59 B63 B66"/>
        <s v="C7"/>
        <s v="E34"/>
        <s v="C32"/>
        <s v="B18"/>
        <s v="C124"/>
        <s v="C91"/>
        <s v="E40"/>
        <s v="T"/>
        <s v="C128"/>
        <s v="D37"/>
        <s v="B35"/>
        <s v="E50"/>
        <s v="C82"/>
        <s v="B96 B98"/>
        <s v="E10"/>
        <s v="E44"/>
        <s v="A34"/>
        <s v="C104"/>
        <s v="C111"/>
        <s v="C92"/>
        <s v="E38"/>
        <s v="D21"/>
        <s v="E12"/>
        <s v="E63"/>
        <s v="A14"/>
        <s v="B37"/>
        <s v="C30"/>
        <s v="D20"/>
        <s v="B79"/>
        <s v="E25"/>
        <s v="D46"/>
        <s v="B73"/>
        <s v="C95"/>
        <s v="B38"/>
        <s v="B39"/>
        <s v="B22"/>
        <s v="C86"/>
        <s v="C70"/>
        <s v="A16"/>
        <s v="C101"/>
        <s v="C68"/>
        <s v="A10"/>
        <s v="E68"/>
        <s v="B41"/>
        <s v="A20"/>
        <s v="D19"/>
        <s v="D50"/>
        <s v="D9"/>
        <s v="A23"/>
        <s v="B50"/>
        <s v="A26"/>
        <s v="D48"/>
        <s v="E58"/>
        <s v="C126"/>
        <s v="B71"/>
        <s v="B51 B53 B55"/>
        <s v="D49"/>
        <s v="B5"/>
        <s v="B20"/>
        <s v="F G63"/>
        <s v="C62 C64"/>
        <s v="E24"/>
        <s v="C90"/>
        <s v="C45"/>
        <s v="E8"/>
        <s v="B101"/>
        <s v="D45"/>
        <s v="C46"/>
        <s v="D30"/>
        <s v="E121"/>
        <s v="D11"/>
        <s v="E77"/>
        <s v="F38"/>
        <s v="B3"/>
        <s v="D6"/>
        <s v="B82 B84"/>
        <s v="D17"/>
        <s v="A36"/>
        <s v="B102"/>
        <s v="B69"/>
        <s v="E49"/>
        <s v="C47"/>
        <s v="D28"/>
        <s v="E17"/>
        <s v="A24"/>
        <s v="C50"/>
        <s v="B42"/>
        <s v="C148"/>
      </sharedItems>
    </cacheField>
    <cacheField name="Embarked" numFmtId="0">
      <sharedItems containsBlank="1" count="4">
        <s v="S"/>
        <s v="C"/>
        <s v="Q"/>
        <m/>
      </sharedItems>
    </cacheField>
    <cacheField name="Age_clean" numFmtId="0">
      <sharedItems containsSemiMixedTypes="0" containsString="0" containsNumber="1" minValue="0.42" maxValue="80" count="89">
        <n v="22"/>
        <n v="38"/>
        <n v="26"/>
        <n v="35"/>
        <n v="29.6991176470588"/>
        <n v="54"/>
        <n v="2"/>
        <n v="27"/>
        <n v="14"/>
        <n v="4"/>
        <n v="58"/>
        <n v="20"/>
        <n v="39"/>
        <n v="55"/>
        <n v="31"/>
        <n v="34"/>
        <n v="15"/>
        <n v="28"/>
        <n v="8"/>
        <n v="19"/>
        <n v="40"/>
        <n v="66"/>
        <n v="42"/>
        <n v="21"/>
        <n v="18"/>
        <n v="3"/>
        <n v="7"/>
        <n v="49"/>
        <n v="29"/>
        <n v="65"/>
        <n v="28.5"/>
        <n v="5"/>
        <n v="11"/>
        <n v="45"/>
        <n v="17"/>
        <n v="32"/>
        <n v="16"/>
        <n v="25"/>
        <n v="0.83"/>
        <n v="30"/>
        <n v="33"/>
        <n v="23"/>
        <n v="24"/>
        <n v="46"/>
        <n v="59"/>
        <n v="71"/>
        <n v="37"/>
        <n v="47"/>
        <n v="14.5"/>
        <n v="70.5"/>
        <n v="32.5"/>
        <n v="12"/>
        <n v="9"/>
        <n v="36.5"/>
        <n v="51"/>
        <n v="55.5"/>
        <n v="40.5"/>
        <n v="44"/>
        <n v="1"/>
        <n v="61"/>
        <n v="56"/>
        <n v="50"/>
        <n v="36"/>
        <n v="45.5"/>
        <n v="20.5"/>
        <n v="62"/>
        <n v="41"/>
        <n v="52"/>
        <n v="63"/>
        <n v="23.5"/>
        <n v="0.92"/>
        <n v="43"/>
        <n v="60"/>
        <n v="10"/>
        <n v="64"/>
        <n v="13"/>
        <n v="48"/>
        <n v="0.75"/>
        <n v="53"/>
        <n v="57"/>
        <n v="80"/>
        <n v="70"/>
        <n v="24.5"/>
        <n v="6"/>
        <n v="0.67"/>
        <n v="30.5"/>
        <n v="0.42"/>
        <n v="34.5"/>
        <n v="74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91">
  <r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0"/>
    <x v="0"/>
    <x v="1"/>
    <x v="1"/>
    <x v="1"/>
    <x v="1"/>
    <x v="1"/>
  </r>
  <r>
    <x v="2"/>
    <x v="1"/>
    <x v="0"/>
    <x v="2"/>
    <x v="1"/>
    <x v="2"/>
    <x v="1"/>
    <x v="0"/>
    <x v="2"/>
    <x v="2"/>
    <x v="0"/>
    <x v="0"/>
    <x v="2"/>
  </r>
  <r>
    <x v="3"/>
    <x v="1"/>
    <x v="1"/>
    <x v="3"/>
    <x v="1"/>
    <x v="3"/>
    <x v="0"/>
    <x v="0"/>
    <x v="3"/>
    <x v="3"/>
    <x v="2"/>
    <x v="0"/>
    <x v="3"/>
  </r>
  <r>
    <x v="4"/>
    <x v="0"/>
    <x v="0"/>
    <x v="4"/>
    <x v="0"/>
    <x v="3"/>
    <x v="1"/>
    <x v="0"/>
    <x v="4"/>
    <x v="4"/>
    <x v="0"/>
    <x v="0"/>
    <x v="3"/>
  </r>
  <r>
    <x v="5"/>
    <x v="0"/>
    <x v="0"/>
    <x v="5"/>
    <x v="0"/>
    <x v="4"/>
    <x v="1"/>
    <x v="0"/>
    <x v="5"/>
    <x v="5"/>
    <x v="0"/>
    <x v="2"/>
    <x v="4"/>
  </r>
  <r>
    <x v="6"/>
    <x v="0"/>
    <x v="1"/>
    <x v="6"/>
    <x v="0"/>
    <x v="5"/>
    <x v="1"/>
    <x v="0"/>
    <x v="6"/>
    <x v="6"/>
    <x v="3"/>
    <x v="0"/>
    <x v="5"/>
  </r>
  <r>
    <x v="7"/>
    <x v="0"/>
    <x v="0"/>
    <x v="7"/>
    <x v="0"/>
    <x v="6"/>
    <x v="2"/>
    <x v="1"/>
    <x v="7"/>
    <x v="7"/>
    <x v="0"/>
    <x v="0"/>
    <x v="6"/>
  </r>
  <r>
    <x v="8"/>
    <x v="1"/>
    <x v="0"/>
    <x v="8"/>
    <x v="1"/>
    <x v="7"/>
    <x v="1"/>
    <x v="2"/>
    <x v="8"/>
    <x v="8"/>
    <x v="0"/>
    <x v="0"/>
    <x v="7"/>
  </r>
  <r>
    <x v="9"/>
    <x v="1"/>
    <x v="2"/>
    <x v="9"/>
    <x v="1"/>
    <x v="8"/>
    <x v="0"/>
    <x v="0"/>
    <x v="9"/>
    <x v="9"/>
    <x v="0"/>
    <x v="1"/>
    <x v="8"/>
  </r>
  <r>
    <x v="10"/>
    <x v="1"/>
    <x v="0"/>
    <x v="10"/>
    <x v="1"/>
    <x v="9"/>
    <x v="0"/>
    <x v="1"/>
    <x v="10"/>
    <x v="10"/>
    <x v="4"/>
    <x v="0"/>
    <x v="9"/>
  </r>
  <r>
    <x v="11"/>
    <x v="1"/>
    <x v="1"/>
    <x v="11"/>
    <x v="1"/>
    <x v="10"/>
    <x v="1"/>
    <x v="0"/>
    <x v="11"/>
    <x v="11"/>
    <x v="5"/>
    <x v="0"/>
    <x v="10"/>
  </r>
  <r>
    <x v="12"/>
    <x v="0"/>
    <x v="0"/>
    <x v="12"/>
    <x v="0"/>
    <x v="11"/>
    <x v="1"/>
    <x v="0"/>
    <x v="12"/>
    <x v="4"/>
    <x v="0"/>
    <x v="0"/>
    <x v="11"/>
  </r>
  <r>
    <x v="13"/>
    <x v="0"/>
    <x v="0"/>
    <x v="13"/>
    <x v="0"/>
    <x v="12"/>
    <x v="0"/>
    <x v="3"/>
    <x v="13"/>
    <x v="12"/>
    <x v="0"/>
    <x v="0"/>
    <x v="12"/>
  </r>
  <r>
    <x v="14"/>
    <x v="0"/>
    <x v="0"/>
    <x v="14"/>
    <x v="1"/>
    <x v="8"/>
    <x v="1"/>
    <x v="0"/>
    <x v="14"/>
    <x v="13"/>
    <x v="0"/>
    <x v="0"/>
    <x v="8"/>
  </r>
  <r>
    <x v="15"/>
    <x v="1"/>
    <x v="2"/>
    <x v="15"/>
    <x v="1"/>
    <x v="13"/>
    <x v="1"/>
    <x v="0"/>
    <x v="15"/>
    <x v="14"/>
    <x v="0"/>
    <x v="0"/>
    <x v="13"/>
  </r>
  <r>
    <x v="16"/>
    <x v="0"/>
    <x v="0"/>
    <x v="16"/>
    <x v="0"/>
    <x v="6"/>
    <x v="3"/>
    <x v="1"/>
    <x v="16"/>
    <x v="15"/>
    <x v="0"/>
    <x v="2"/>
    <x v="6"/>
  </r>
  <r>
    <x v="17"/>
    <x v="1"/>
    <x v="2"/>
    <x v="17"/>
    <x v="0"/>
    <x v="4"/>
    <x v="1"/>
    <x v="0"/>
    <x v="17"/>
    <x v="16"/>
    <x v="0"/>
    <x v="0"/>
    <x v="4"/>
  </r>
  <r>
    <x v="18"/>
    <x v="0"/>
    <x v="0"/>
    <x v="18"/>
    <x v="1"/>
    <x v="14"/>
    <x v="0"/>
    <x v="0"/>
    <x v="18"/>
    <x v="17"/>
    <x v="0"/>
    <x v="0"/>
    <x v="14"/>
  </r>
  <r>
    <x v="19"/>
    <x v="1"/>
    <x v="0"/>
    <x v="19"/>
    <x v="1"/>
    <x v="4"/>
    <x v="1"/>
    <x v="0"/>
    <x v="19"/>
    <x v="18"/>
    <x v="0"/>
    <x v="1"/>
    <x v="4"/>
  </r>
  <r>
    <x v="20"/>
    <x v="0"/>
    <x v="2"/>
    <x v="20"/>
    <x v="0"/>
    <x v="3"/>
    <x v="1"/>
    <x v="0"/>
    <x v="20"/>
    <x v="19"/>
    <x v="0"/>
    <x v="0"/>
    <x v="3"/>
  </r>
  <r>
    <x v="21"/>
    <x v="1"/>
    <x v="2"/>
    <x v="21"/>
    <x v="0"/>
    <x v="15"/>
    <x v="1"/>
    <x v="0"/>
    <x v="21"/>
    <x v="16"/>
    <x v="6"/>
    <x v="0"/>
    <x v="15"/>
  </r>
  <r>
    <x v="22"/>
    <x v="1"/>
    <x v="0"/>
    <x v="22"/>
    <x v="1"/>
    <x v="16"/>
    <x v="1"/>
    <x v="0"/>
    <x v="22"/>
    <x v="20"/>
    <x v="0"/>
    <x v="2"/>
    <x v="16"/>
  </r>
  <r>
    <x v="23"/>
    <x v="1"/>
    <x v="1"/>
    <x v="23"/>
    <x v="0"/>
    <x v="17"/>
    <x v="1"/>
    <x v="0"/>
    <x v="23"/>
    <x v="21"/>
    <x v="7"/>
    <x v="0"/>
    <x v="17"/>
  </r>
  <r>
    <x v="24"/>
    <x v="0"/>
    <x v="0"/>
    <x v="24"/>
    <x v="1"/>
    <x v="18"/>
    <x v="2"/>
    <x v="1"/>
    <x v="7"/>
    <x v="7"/>
    <x v="0"/>
    <x v="0"/>
    <x v="18"/>
  </r>
  <r>
    <x v="25"/>
    <x v="1"/>
    <x v="0"/>
    <x v="25"/>
    <x v="1"/>
    <x v="1"/>
    <x v="0"/>
    <x v="3"/>
    <x v="24"/>
    <x v="22"/>
    <x v="0"/>
    <x v="0"/>
    <x v="1"/>
  </r>
  <r>
    <x v="26"/>
    <x v="0"/>
    <x v="0"/>
    <x v="26"/>
    <x v="0"/>
    <x v="4"/>
    <x v="1"/>
    <x v="0"/>
    <x v="25"/>
    <x v="18"/>
    <x v="0"/>
    <x v="1"/>
    <x v="4"/>
  </r>
  <r>
    <x v="27"/>
    <x v="0"/>
    <x v="1"/>
    <x v="27"/>
    <x v="0"/>
    <x v="19"/>
    <x v="2"/>
    <x v="2"/>
    <x v="26"/>
    <x v="23"/>
    <x v="8"/>
    <x v="0"/>
    <x v="19"/>
  </r>
  <r>
    <x v="28"/>
    <x v="1"/>
    <x v="0"/>
    <x v="28"/>
    <x v="1"/>
    <x v="4"/>
    <x v="1"/>
    <x v="0"/>
    <x v="27"/>
    <x v="24"/>
    <x v="0"/>
    <x v="2"/>
    <x v="4"/>
  </r>
  <r>
    <x v="29"/>
    <x v="0"/>
    <x v="0"/>
    <x v="29"/>
    <x v="0"/>
    <x v="4"/>
    <x v="1"/>
    <x v="0"/>
    <x v="28"/>
    <x v="25"/>
    <x v="0"/>
    <x v="0"/>
    <x v="4"/>
  </r>
  <r>
    <x v="30"/>
    <x v="0"/>
    <x v="1"/>
    <x v="30"/>
    <x v="0"/>
    <x v="20"/>
    <x v="1"/>
    <x v="0"/>
    <x v="29"/>
    <x v="26"/>
    <x v="0"/>
    <x v="1"/>
    <x v="20"/>
  </r>
  <r>
    <x v="31"/>
    <x v="1"/>
    <x v="1"/>
    <x v="31"/>
    <x v="1"/>
    <x v="4"/>
    <x v="0"/>
    <x v="0"/>
    <x v="30"/>
    <x v="27"/>
    <x v="9"/>
    <x v="1"/>
    <x v="4"/>
  </r>
  <r>
    <x v="32"/>
    <x v="1"/>
    <x v="0"/>
    <x v="32"/>
    <x v="1"/>
    <x v="4"/>
    <x v="1"/>
    <x v="0"/>
    <x v="31"/>
    <x v="28"/>
    <x v="0"/>
    <x v="2"/>
    <x v="4"/>
  </r>
  <r>
    <x v="33"/>
    <x v="0"/>
    <x v="2"/>
    <x v="33"/>
    <x v="0"/>
    <x v="21"/>
    <x v="1"/>
    <x v="0"/>
    <x v="32"/>
    <x v="29"/>
    <x v="0"/>
    <x v="0"/>
    <x v="21"/>
  </r>
  <r>
    <x v="34"/>
    <x v="0"/>
    <x v="1"/>
    <x v="34"/>
    <x v="0"/>
    <x v="17"/>
    <x v="0"/>
    <x v="0"/>
    <x v="33"/>
    <x v="30"/>
    <x v="0"/>
    <x v="1"/>
    <x v="17"/>
  </r>
  <r>
    <x v="35"/>
    <x v="0"/>
    <x v="1"/>
    <x v="35"/>
    <x v="0"/>
    <x v="22"/>
    <x v="0"/>
    <x v="0"/>
    <x v="34"/>
    <x v="31"/>
    <x v="0"/>
    <x v="0"/>
    <x v="22"/>
  </r>
  <r>
    <x v="36"/>
    <x v="1"/>
    <x v="0"/>
    <x v="36"/>
    <x v="0"/>
    <x v="4"/>
    <x v="1"/>
    <x v="0"/>
    <x v="35"/>
    <x v="32"/>
    <x v="0"/>
    <x v="1"/>
    <x v="4"/>
  </r>
  <r>
    <x v="37"/>
    <x v="0"/>
    <x v="0"/>
    <x v="37"/>
    <x v="0"/>
    <x v="23"/>
    <x v="1"/>
    <x v="0"/>
    <x v="36"/>
    <x v="4"/>
    <x v="0"/>
    <x v="0"/>
    <x v="23"/>
  </r>
  <r>
    <x v="38"/>
    <x v="0"/>
    <x v="0"/>
    <x v="38"/>
    <x v="1"/>
    <x v="24"/>
    <x v="4"/>
    <x v="0"/>
    <x v="37"/>
    <x v="17"/>
    <x v="0"/>
    <x v="0"/>
    <x v="24"/>
  </r>
  <r>
    <x v="39"/>
    <x v="1"/>
    <x v="0"/>
    <x v="39"/>
    <x v="1"/>
    <x v="8"/>
    <x v="0"/>
    <x v="0"/>
    <x v="38"/>
    <x v="33"/>
    <x v="0"/>
    <x v="1"/>
    <x v="8"/>
  </r>
  <r>
    <x v="40"/>
    <x v="0"/>
    <x v="0"/>
    <x v="40"/>
    <x v="1"/>
    <x v="20"/>
    <x v="0"/>
    <x v="0"/>
    <x v="39"/>
    <x v="34"/>
    <x v="0"/>
    <x v="0"/>
    <x v="20"/>
  </r>
  <r>
    <x v="41"/>
    <x v="0"/>
    <x v="2"/>
    <x v="41"/>
    <x v="1"/>
    <x v="7"/>
    <x v="0"/>
    <x v="0"/>
    <x v="40"/>
    <x v="35"/>
    <x v="0"/>
    <x v="0"/>
    <x v="7"/>
  </r>
  <r>
    <x v="42"/>
    <x v="0"/>
    <x v="0"/>
    <x v="42"/>
    <x v="0"/>
    <x v="4"/>
    <x v="1"/>
    <x v="0"/>
    <x v="41"/>
    <x v="25"/>
    <x v="0"/>
    <x v="1"/>
    <x v="4"/>
  </r>
  <r>
    <x v="43"/>
    <x v="1"/>
    <x v="2"/>
    <x v="43"/>
    <x v="1"/>
    <x v="25"/>
    <x v="0"/>
    <x v="2"/>
    <x v="42"/>
    <x v="36"/>
    <x v="0"/>
    <x v="1"/>
    <x v="25"/>
  </r>
  <r>
    <x v="44"/>
    <x v="1"/>
    <x v="0"/>
    <x v="44"/>
    <x v="1"/>
    <x v="19"/>
    <x v="1"/>
    <x v="0"/>
    <x v="43"/>
    <x v="24"/>
    <x v="0"/>
    <x v="2"/>
    <x v="19"/>
  </r>
  <r>
    <x v="45"/>
    <x v="0"/>
    <x v="0"/>
    <x v="45"/>
    <x v="0"/>
    <x v="4"/>
    <x v="1"/>
    <x v="0"/>
    <x v="44"/>
    <x v="4"/>
    <x v="0"/>
    <x v="0"/>
    <x v="4"/>
  </r>
  <r>
    <x v="46"/>
    <x v="0"/>
    <x v="0"/>
    <x v="46"/>
    <x v="0"/>
    <x v="4"/>
    <x v="0"/>
    <x v="0"/>
    <x v="45"/>
    <x v="37"/>
    <x v="0"/>
    <x v="2"/>
    <x v="4"/>
  </r>
  <r>
    <x v="47"/>
    <x v="1"/>
    <x v="0"/>
    <x v="47"/>
    <x v="1"/>
    <x v="4"/>
    <x v="1"/>
    <x v="0"/>
    <x v="46"/>
    <x v="28"/>
    <x v="0"/>
    <x v="2"/>
    <x v="4"/>
  </r>
  <r>
    <x v="48"/>
    <x v="0"/>
    <x v="0"/>
    <x v="48"/>
    <x v="0"/>
    <x v="4"/>
    <x v="4"/>
    <x v="0"/>
    <x v="47"/>
    <x v="38"/>
    <x v="0"/>
    <x v="1"/>
    <x v="4"/>
  </r>
  <r>
    <x v="49"/>
    <x v="0"/>
    <x v="0"/>
    <x v="49"/>
    <x v="1"/>
    <x v="24"/>
    <x v="0"/>
    <x v="0"/>
    <x v="48"/>
    <x v="39"/>
    <x v="0"/>
    <x v="0"/>
    <x v="24"/>
  </r>
  <r>
    <x v="50"/>
    <x v="0"/>
    <x v="0"/>
    <x v="50"/>
    <x v="0"/>
    <x v="26"/>
    <x v="3"/>
    <x v="1"/>
    <x v="49"/>
    <x v="40"/>
    <x v="0"/>
    <x v="0"/>
    <x v="26"/>
  </r>
  <r>
    <x v="51"/>
    <x v="0"/>
    <x v="0"/>
    <x v="51"/>
    <x v="0"/>
    <x v="23"/>
    <x v="1"/>
    <x v="0"/>
    <x v="50"/>
    <x v="41"/>
    <x v="0"/>
    <x v="0"/>
    <x v="23"/>
  </r>
  <r>
    <x v="52"/>
    <x v="1"/>
    <x v="1"/>
    <x v="52"/>
    <x v="1"/>
    <x v="27"/>
    <x v="0"/>
    <x v="0"/>
    <x v="51"/>
    <x v="42"/>
    <x v="10"/>
    <x v="1"/>
    <x v="27"/>
  </r>
  <r>
    <x v="53"/>
    <x v="1"/>
    <x v="2"/>
    <x v="53"/>
    <x v="1"/>
    <x v="28"/>
    <x v="0"/>
    <x v="0"/>
    <x v="52"/>
    <x v="19"/>
    <x v="0"/>
    <x v="0"/>
    <x v="28"/>
  </r>
  <r>
    <x v="54"/>
    <x v="0"/>
    <x v="1"/>
    <x v="54"/>
    <x v="0"/>
    <x v="29"/>
    <x v="1"/>
    <x v="1"/>
    <x v="53"/>
    <x v="43"/>
    <x v="11"/>
    <x v="1"/>
    <x v="29"/>
  </r>
  <r>
    <x v="55"/>
    <x v="1"/>
    <x v="1"/>
    <x v="55"/>
    <x v="0"/>
    <x v="4"/>
    <x v="1"/>
    <x v="0"/>
    <x v="54"/>
    <x v="21"/>
    <x v="12"/>
    <x v="0"/>
    <x v="4"/>
  </r>
  <r>
    <x v="56"/>
    <x v="1"/>
    <x v="2"/>
    <x v="56"/>
    <x v="1"/>
    <x v="23"/>
    <x v="1"/>
    <x v="0"/>
    <x v="55"/>
    <x v="29"/>
    <x v="0"/>
    <x v="0"/>
    <x v="23"/>
  </r>
  <r>
    <x v="57"/>
    <x v="0"/>
    <x v="0"/>
    <x v="57"/>
    <x v="0"/>
    <x v="30"/>
    <x v="1"/>
    <x v="0"/>
    <x v="56"/>
    <x v="32"/>
    <x v="0"/>
    <x v="1"/>
    <x v="30"/>
  </r>
  <r>
    <x v="58"/>
    <x v="1"/>
    <x v="2"/>
    <x v="58"/>
    <x v="1"/>
    <x v="31"/>
    <x v="0"/>
    <x v="2"/>
    <x v="57"/>
    <x v="44"/>
    <x v="0"/>
    <x v="0"/>
    <x v="31"/>
  </r>
  <r>
    <x v="59"/>
    <x v="0"/>
    <x v="0"/>
    <x v="59"/>
    <x v="0"/>
    <x v="32"/>
    <x v="5"/>
    <x v="2"/>
    <x v="58"/>
    <x v="45"/>
    <x v="0"/>
    <x v="0"/>
    <x v="32"/>
  </r>
  <r>
    <x v="60"/>
    <x v="0"/>
    <x v="0"/>
    <x v="60"/>
    <x v="0"/>
    <x v="0"/>
    <x v="1"/>
    <x v="0"/>
    <x v="59"/>
    <x v="32"/>
    <x v="0"/>
    <x v="1"/>
    <x v="0"/>
  </r>
  <r>
    <x v="61"/>
    <x v="1"/>
    <x v="1"/>
    <x v="61"/>
    <x v="1"/>
    <x v="1"/>
    <x v="1"/>
    <x v="0"/>
    <x v="60"/>
    <x v="46"/>
    <x v="13"/>
    <x v="3"/>
    <x v="1"/>
  </r>
  <r>
    <x v="62"/>
    <x v="0"/>
    <x v="1"/>
    <x v="62"/>
    <x v="0"/>
    <x v="33"/>
    <x v="0"/>
    <x v="0"/>
    <x v="61"/>
    <x v="47"/>
    <x v="14"/>
    <x v="0"/>
    <x v="33"/>
  </r>
  <r>
    <x v="63"/>
    <x v="0"/>
    <x v="0"/>
    <x v="63"/>
    <x v="0"/>
    <x v="9"/>
    <x v="2"/>
    <x v="2"/>
    <x v="62"/>
    <x v="48"/>
    <x v="0"/>
    <x v="0"/>
    <x v="9"/>
  </r>
  <r>
    <x v="64"/>
    <x v="0"/>
    <x v="1"/>
    <x v="64"/>
    <x v="0"/>
    <x v="4"/>
    <x v="1"/>
    <x v="0"/>
    <x v="63"/>
    <x v="26"/>
    <x v="0"/>
    <x v="1"/>
    <x v="4"/>
  </r>
  <r>
    <x v="65"/>
    <x v="1"/>
    <x v="0"/>
    <x v="65"/>
    <x v="0"/>
    <x v="4"/>
    <x v="0"/>
    <x v="1"/>
    <x v="64"/>
    <x v="49"/>
    <x v="0"/>
    <x v="1"/>
    <x v="4"/>
  </r>
  <r>
    <x v="66"/>
    <x v="1"/>
    <x v="2"/>
    <x v="66"/>
    <x v="1"/>
    <x v="28"/>
    <x v="1"/>
    <x v="0"/>
    <x v="65"/>
    <x v="29"/>
    <x v="15"/>
    <x v="0"/>
    <x v="28"/>
  </r>
  <r>
    <x v="67"/>
    <x v="0"/>
    <x v="0"/>
    <x v="67"/>
    <x v="0"/>
    <x v="19"/>
    <x v="1"/>
    <x v="0"/>
    <x v="66"/>
    <x v="50"/>
    <x v="0"/>
    <x v="0"/>
    <x v="19"/>
  </r>
  <r>
    <x v="68"/>
    <x v="1"/>
    <x v="0"/>
    <x v="68"/>
    <x v="1"/>
    <x v="34"/>
    <x v="3"/>
    <x v="2"/>
    <x v="67"/>
    <x v="2"/>
    <x v="0"/>
    <x v="0"/>
    <x v="34"/>
  </r>
  <r>
    <x v="69"/>
    <x v="0"/>
    <x v="0"/>
    <x v="69"/>
    <x v="0"/>
    <x v="2"/>
    <x v="4"/>
    <x v="0"/>
    <x v="68"/>
    <x v="51"/>
    <x v="0"/>
    <x v="0"/>
    <x v="2"/>
  </r>
  <r>
    <x v="70"/>
    <x v="0"/>
    <x v="2"/>
    <x v="70"/>
    <x v="0"/>
    <x v="35"/>
    <x v="1"/>
    <x v="0"/>
    <x v="69"/>
    <x v="29"/>
    <x v="0"/>
    <x v="0"/>
    <x v="35"/>
  </r>
  <r>
    <x v="71"/>
    <x v="0"/>
    <x v="0"/>
    <x v="71"/>
    <x v="1"/>
    <x v="36"/>
    <x v="5"/>
    <x v="2"/>
    <x v="58"/>
    <x v="45"/>
    <x v="0"/>
    <x v="0"/>
    <x v="36"/>
  </r>
  <r>
    <x v="72"/>
    <x v="0"/>
    <x v="2"/>
    <x v="72"/>
    <x v="0"/>
    <x v="23"/>
    <x v="1"/>
    <x v="0"/>
    <x v="70"/>
    <x v="52"/>
    <x v="0"/>
    <x v="0"/>
    <x v="23"/>
  </r>
  <r>
    <x v="73"/>
    <x v="0"/>
    <x v="0"/>
    <x v="73"/>
    <x v="0"/>
    <x v="2"/>
    <x v="0"/>
    <x v="0"/>
    <x v="71"/>
    <x v="53"/>
    <x v="0"/>
    <x v="1"/>
    <x v="2"/>
  </r>
  <r>
    <x v="74"/>
    <x v="1"/>
    <x v="0"/>
    <x v="74"/>
    <x v="0"/>
    <x v="35"/>
    <x v="1"/>
    <x v="0"/>
    <x v="72"/>
    <x v="54"/>
    <x v="0"/>
    <x v="0"/>
    <x v="35"/>
  </r>
  <r>
    <x v="75"/>
    <x v="0"/>
    <x v="0"/>
    <x v="75"/>
    <x v="0"/>
    <x v="37"/>
    <x v="1"/>
    <x v="0"/>
    <x v="73"/>
    <x v="55"/>
    <x v="16"/>
    <x v="0"/>
    <x v="37"/>
  </r>
  <r>
    <x v="76"/>
    <x v="0"/>
    <x v="0"/>
    <x v="76"/>
    <x v="0"/>
    <x v="4"/>
    <x v="1"/>
    <x v="0"/>
    <x v="74"/>
    <x v="25"/>
    <x v="0"/>
    <x v="0"/>
    <x v="4"/>
  </r>
  <r>
    <x v="77"/>
    <x v="0"/>
    <x v="0"/>
    <x v="77"/>
    <x v="0"/>
    <x v="4"/>
    <x v="1"/>
    <x v="0"/>
    <x v="75"/>
    <x v="4"/>
    <x v="0"/>
    <x v="0"/>
    <x v="4"/>
  </r>
  <r>
    <x v="78"/>
    <x v="1"/>
    <x v="2"/>
    <x v="78"/>
    <x v="0"/>
    <x v="38"/>
    <x v="1"/>
    <x v="2"/>
    <x v="76"/>
    <x v="56"/>
    <x v="0"/>
    <x v="0"/>
    <x v="38"/>
  </r>
  <r>
    <x v="79"/>
    <x v="1"/>
    <x v="0"/>
    <x v="79"/>
    <x v="1"/>
    <x v="39"/>
    <x v="1"/>
    <x v="0"/>
    <x v="77"/>
    <x v="57"/>
    <x v="0"/>
    <x v="0"/>
    <x v="39"/>
  </r>
  <r>
    <x v="80"/>
    <x v="0"/>
    <x v="0"/>
    <x v="80"/>
    <x v="0"/>
    <x v="0"/>
    <x v="1"/>
    <x v="0"/>
    <x v="78"/>
    <x v="58"/>
    <x v="0"/>
    <x v="0"/>
    <x v="0"/>
  </r>
  <r>
    <x v="81"/>
    <x v="1"/>
    <x v="0"/>
    <x v="81"/>
    <x v="0"/>
    <x v="28"/>
    <x v="1"/>
    <x v="0"/>
    <x v="79"/>
    <x v="59"/>
    <x v="0"/>
    <x v="0"/>
    <x v="28"/>
  </r>
  <r>
    <x v="82"/>
    <x v="1"/>
    <x v="0"/>
    <x v="82"/>
    <x v="1"/>
    <x v="4"/>
    <x v="1"/>
    <x v="0"/>
    <x v="80"/>
    <x v="60"/>
    <x v="0"/>
    <x v="2"/>
    <x v="4"/>
  </r>
  <r>
    <x v="83"/>
    <x v="0"/>
    <x v="1"/>
    <x v="83"/>
    <x v="0"/>
    <x v="17"/>
    <x v="1"/>
    <x v="0"/>
    <x v="81"/>
    <x v="61"/>
    <x v="0"/>
    <x v="0"/>
    <x v="17"/>
  </r>
  <r>
    <x v="84"/>
    <x v="1"/>
    <x v="2"/>
    <x v="84"/>
    <x v="1"/>
    <x v="34"/>
    <x v="1"/>
    <x v="0"/>
    <x v="82"/>
    <x v="29"/>
    <x v="0"/>
    <x v="0"/>
    <x v="34"/>
  </r>
  <r>
    <x v="85"/>
    <x v="1"/>
    <x v="0"/>
    <x v="85"/>
    <x v="1"/>
    <x v="40"/>
    <x v="2"/>
    <x v="0"/>
    <x v="83"/>
    <x v="62"/>
    <x v="0"/>
    <x v="0"/>
    <x v="40"/>
  </r>
  <r>
    <x v="86"/>
    <x v="0"/>
    <x v="0"/>
    <x v="86"/>
    <x v="0"/>
    <x v="36"/>
    <x v="0"/>
    <x v="4"/>
    <x v="84"/>
    <x v="63"/>
    <x v="0"/>
    <x v="0"/>
    <x v="36"/>
  </r>
  <r>
    <x v="87"/>
    <x v="0"/>
    <x v="0"/>
    <x v="87"/>
    <x v="0"/>
    <x v="4"/>
    <x v="1"/>
    <x v="0"/>
    <x v="85"/>
    <x v="4"/>
    <x v="0"/>
    <x v="0"/>
    <x v="4"/>
  </r>
  <r>
    <x v="88"/>
    <x v="1"/>
    <x v="1"/>
    <x v="88"/>
    <x v="1"/>
    <x v="41"/>
    <x v="2"/>
    <x v="2"/>
    <x v="26"/>
    <x v="23"/>
    <x v="8"/>
    <x v="0"/>
    <x v="41"/>
  </r>
  <r>
    <x v="89"/>
    <x v="0"/>
    <x v="0"/>
    <x v="89"/>
    <x v="0"/>
    <x v="42"/>
    <x v="1"/>
    <x v="0"/>
    <x v="86"/>
    <x v="4"/>
    <x v="0"/>
    <x v="0"/>
    <x v="42"/>
  </r>
  <r>
    <x v="90"/>
    <x v="0"/>
    <x v="0"/>
    <x v="90"/>
    <x v="0"/>
    <x v="28"/>
    <x v="1"/>
    <x v="0"/>
    <x v="87"/>
    <x v="4"/>
    <x v="0"/>
    <x v="0"/>
    <x v="28"/>
  </r>
  <r>
    <x v="91"/>
    <x v="0"/>
    <x v="0"/>
    <x v="91"/>
    <x v="0"/>
    <x v="11"/>
    <x v="1"/>
    <x v="0"/>
    <x v="88"/>
    <x v="13"/>
    <x v="0"/>
    <x v="0"/>
    <x v="11"/>
  </r>
  <r>
    <x v="92"/>
    <x v="0"/>
    <x v="1"/>
    <x v="92"/>
    <x v="0"/>
    <x v="43"/>
    <x v="0"/>
    <x v="0"/>
    <x v="89"/>
    <x v="64"/>
    <x v="17"/>
    <x v="0"/>
    <x v="43"/>
  </r>
  <r>
    <x v="93"/>
    <x v="0"/>
    <x v="0"/>
    <x v="93"/>
    <x v="0"/>
    <x v="2"/>
    <x v="0"/>
    <x v="2"/>
    <x v="90"/>
    <x v="65"/>
    <x v="0"/>
    <x v="0"/>
    <x v="2"/>
  </r>
  <r>
    <x v="94"/>
    <x v="0"/>
    <x v="0"/>
    <x v="94"/>
    <x v="0"/>
    <x v="44"/>
    <x v="1"/>
    <x v="0"/>
    <x v="91"/>
    <x v="0"/>
    <x v="0"/>
    <x v="0"/>
    <x v="44"/>
  </r>
  <r>
    <x v="95"/>
    <x v="0"/>
    <x v="0"/>
    <x v="95"/>
    <x v="0"/>
    <x v="4"/>
    <x v="1"/>
    <x v="0"/>
    <x v="92"/>
    <x v="4"/>
    <x v="0"/>
    <x v="0"/>
    <x v="4"/>
  </r>
  <r>
    <x v="96"/>
    <x v="0"/>
    <x v="1"/>
    <x v="96"/>
    <x v="0"/>
    <x v="45"/>
    <x v="1"/>
    <x v="0"/>
    <x v="93"/>
    <x v="66"/>
    <x v="18"/>
    <x v="1"/>
    <x v="45"/>
  </r>
  <r>
    <x v="97"/>
    <x v="1"/>
    <x v="1"/>
    <x v="97"/>
    <x v="0"/>
    <x v="41"/>
    <x v="1"/>
    <x v="1"/>
    <x v="94"/>
    <x v="67"/>
    <x v="19"/>
    <x v="1"/>
    <x v="41"/>
  </r>
  <r>
    <x v="98"/>
    <x v="1"/>
    <x v="2"/>
    <x v="98"/>
    <x v="1"/>
    <x v="15"/>
    <x v="1"/>
    <x v="1"/>
    <x v="95"/>
    <x v="68"/>
    <x v="0"/>
    <x v="0"/>
    <x v="15"/>
  </r>
  <r>
    <x v="99"/>
    <x v="0"/>
    <x v="2"/>
    <x v="99"/>
    <x v="0"/>
    <x v="15"/>
    <x v="0"/>
    <x v="0"/>
    <x v="96"/>
    <x v="19"/>
    <x v="0"/>
    <x v="0"/>
    <x v="15"/>
  </r>
  <r>
    <x v="100"/>
    <x v="0"/>
    <x v="0"/>
    <x v="100"/>
    <x v="1"/>
    <x v="17"/>
    <x v="1"/>
    <x v="0"/>
    <x v="97"/>
    <x v="25"/>
    <x v="0"/>
    <x v="0"/>
    <x v="17"/>
  </r>
  <r>
    <x v="101"/>
    <x v="0"/>
    <x v="0"/>
    <x v="101"/>
    <x v="0"/>
    <x v="4"/>
    <x v="1"/>
    <x v="0"/>
    <x v="98"/>
    <x v="25"/>
    <x v="0"/>
    <x v="0"/>
    <x v="4"/>
  </r>
  <r>
    <x v="102"/>
    <x v="0"/>
    <x v="1"/>
    <x v="102"/>
    <x v="0"/>
    <x v="23"/>
    <x v="1"/>
    <x v="1"/>
    <x v="99"/>
    <x v="69"/>
    <x v="20"/>
    <x v="0"/>
    <x v="23"/>
  </r>
  <r>
    <x v="103"/>
    <x v="0"/>
    <x v="0"/>
    <x v="103"/>
    <x v="0"/>
    <x v="40"/>
    <x v="1"/>
    <x v="0"/>
    <x v="100"/>
    <x v="70"/>
    <x v="0"/>
    <x v="0"/>
    <x v="40"/>
  </r>
  <r>
    <x v="104"/>
    <x v="0"/>
    <x v="0"/>
    <x v="104"/>
    <x v="0"/>
    <x v="46"/>
    <x v="4"/>
    <x v="0"/>
    <x v="101"/>
    <x v="2"/>
    <x v="0"/>
    <x v="0"/>
    <x v="46"/>
  </r>
  <r>
    <x v="105"/>
    <x v="0"/>
    <x v="0"/>
    <x v="105"/>
    <x v="0"/>
    <x v="17"/>
    <x v="1"/>
    <x v="0"/>
    <x v="102"/>
    <x v="25"/>
    <x v="0"/>
    <x v="0"/>
    <x v="17"/>
  </r>
  <r>
    <x v="106"/>
    <x v="1"/>
    <x v="0"/>
    <x v="106"/>
    <x v="1"/>
    <x v="23"/>
    <x v="1"/>
    <x v="0"/>
    <x v="103"/>
    <x v="55"/>
    <x v="0"/>
    <x v="0"/>
    <x v="23"/>
  </r>
  <r>
    <x v="107"/>
    <x v="1"/>
    <x v="0"/>
    <x v="107"/>
    <x v="0"/>
    <x v="4"/>
    <x v="1"/>
    <x v="0"/>
    <x v="104"/>
    <x v="71"/>
    <x v="0"/>
    <x v="0"/>
    <x v="4"/>
  </r>
  <r>
    <x v="108"/>
    <x v="0"/>
    <x v="0"/>
    <x v="108"/>
    <x v="0"/>
    <x v="1"/>
    <x v="1"/>
    <x v="0"/>
    <x v="105"/>
    <x v="25"/>
    <x v="0"/>
    <x v="0"/>
    <x v="1"/>
  </r>
  <r>
    <x v="109"/>
    <x v="1"/>
    <x v="0"/>
    <x v="109"/>
    <x v="1"/>
    <x v="4"/>
    <x v="0"/>
    <x v="0"/>
    <x v="106"/>
    <x v="72"/>
    <x v="0"/>
    <x v="2"/>
    <x v="4"/>
  </r>
  <r>
    <x v="110"/>
    <x v="0"/>
    <x v="1"/>
    <x v="110"/>
    <x v="0"/>
    <x v="47"/>
    <x v="1"/>
    <x v="0"/>
    <x v="107"/>
    <x v="31"/>
    <x v="21"/>
    <x v="0"/>
    <x v="47"/>
  </r>
  <r>
    <x v="111"/>
    <x v="0"/>
    <x v="0"/>
    <x v="111"/>
    <x v="1"/>
    <x v="48"/>
    <x v="0"/>
    <x v="0"/>
    <x v="108"/>
    <x v="53"/>
    <x v="0"/>
    <x v="1"/>
    <x v="48"/>
  </r>
  <r>
    <x v="112"/>
    <x v="0"/>
    <x v="0"/>
    <x v="112"/>
    <x v="0"/>
    <x v="0"/>
    <x v="1"/>
    <x v="0"/>
    <x v="109"/>
    <x v="4"/>
    <x v="0"/>
    <x v="0"/>
    <x v="0"/>
  </r>
  <r>
    <x v="113"/>
    <x v="0"/>
    <x v="0"/>
    <x v="113"/>
    <x v="1"/>
    <x v="11"/>
    <x v="0"/>
    <x v="0"/>
    <x v="110"/>
    <x v="73"/>
    <x v="0"/>
    <x v="0"/>
    <x v="11"/>
  </r>
  <r>
    <x v="114"/>
    <x v="0"/>
    <x v="0"/>
    <x v="114"/>
    <x v="1"/>
    <x v="34"/>
    <x v="1"/>
    <x v="0"/>
    <x v="111"/>
    <x v="74"/>
    <x v="0"/>
    <x v="1"/>
    <x v="34"/>
  </r>
  <r>
    <x v="115"/>
    <x v="0"/>
    <x v="0"/>
    <x v="115"/>
    <x v="0"/>
    <x v="23"/>
    <x v="1"/>
    <x v="0"/>
    <x v="112"/>
    <x v="2"/>
    <x v="0"/>
    <x v="0"/>
    <x v="23"/>
  </r>
  <r>
    <x v="116"/>
    <x v="0"/>
    <x v="0"/>
    <x v="116"/>
    <x v="0"/>
    <x v="49"/>
    <x v="1"/>
    <x v="0"/>
    <x v="113"/>
    <x v="28"/>
    <x v="0"/>
    <x v="2"/>
    <x v="49"/>
  </r>
  <r>
    <x v="117"/>
    <x v="0"/>
    <x v="2"/>
    <x v="117"/>
    <x v="0"/>
    <x v="28"/>
    <x v="0"/>
    <x v="0"/>
    <x v="40"/>
    <x v="35"/>
    <x v="0"/>
    <x v="0"/>
    <x v="28"/>
  </r>
  <r>
    <x v="118"/>
    <x v="0"/>
    <x v="1"/>
    <x v="118"/>
    <x v="0"/>
    <x v="42"/>
    <x v="1"/>
    <x v="1"/>
    <x v="114"/>
    <x v="75"/>
    <x v="22"/>
    <x v="1"/>
    <x v="42"/>
  </r>
  <r>
    <x v="119"/>
    <x v="0"/>
    <x v="0"/>
    <x v="119"/>
    <x v="1"/>
    <x v="6"/>
    <x v="3"/>
    <x v="2"/>
    <x v="13"/>
    <x v="12"/>
    <x v="0"/>
    <x v="0"/>
    <x v="6"/>
  </r>
  <r>
    <x v="120"/>
    <x v="0"/>
    <x v="2"/>
    <x v="120"/>
    <x v="0"/>
    <x v="23"/>
    <x v="4"/>
    <x v="0"/>
    <x v="70"/>
    <x v="52"/>
    <x v="0"/>
    <x v="0"/>
    <x v="23"/>
  </r>
  <r>
    <x v="121"/>
    <x v="0"/>
    <x v="0"/>
    <x v="121"/>
    <x v="0"/>
    <x v="4"/>
    <x v="1"/>
    <x v="0"/>
    <x v="115"/>
    <x v="4"/>
    <x v="0"/>
    <x v="0"/>
    <x v="4"/>
  </r>
  <r>
    <x v="122"/>
    <x v="0"/>
    <x v="2"/>
    <x v="122"/>
    <x v="0"/>
    <x v="50"/>
    <x v="0"/>
    <x v="0"/>
    <x v="9"/>
    <x v="9"/>
    <x v="0"/>
    <x v="1"/>
    <x v="50"/>
  </r>
  <r>
    <x v="123"/>
    <x v="1"/>
    <x v="2"/>
    <x v="123"/>
    <x v="1"/>
    <x v="50"/>
    <x v="1"/>
    <x v="0"/>
    <x v="116"/>
    <x v="16"/>
    <x v="23"/>
    <x v="0"/>
    <x v="50"/>
  </r>
  <r>
    <x v="124"/>
    <x v="0"/>
    <x v="1"/>
    <x v="124"/>
    <x v="0"/>
    <x v="5"/>
    <x v="1"/>
    <x v="1"/>
    <x v="99"/>
    <x v="69"/>
    <x v="20"/>
    <x v="0"/>
    <x v="5"/>
  </r>
  <r>
    <x v="125"/>
    <x v="1"/>
    <x v="0"/>
    <x v="125"/>
    <x v="0"/>
    <x v="51"/>
    <x v="0"/>
    <x v="0"/>
    <x v="38"/>
    <x v="33"/>
    <x v="0"/>
    <x v="1"/>
    <x v="51"/>
  </r>
  <r>
    <x v="126"/>
    <x v="0"/>
    <x v="0"/>
    <x v="126"/>
    <x v="0"/>
    <x v="4"/>
    <x v="1"/>
    <x v="0"/>
    <x v="117"/>
    <x v="28"/>
    <x v="0"/>
    <x v="2"/>
    <x v="4"/>
  </r>
  <r>
    <x v="127"/>
    <x v="1"/>
    <x v="0"/>
    <x v="127"/>
    <x v="0"/>
    <x v="42"/>
    <x v="1"/>
    <x v="0"/>
    <x v="118"/>
    <x v="76"/>
    <x v="0"/>
    <x v="0"/>
    <x v="42"/>
  </r>
  <r>
    <x v="128"/>
    <x v="1"/>
    <x v="0"/>
    <x v="128"/>
    <x v="1"/>
    <x v="4"/>
    <x v="0"/>
    <x v="1"/>
    <x v="119"/>
    <x v="77"/>
    <x v="24"/>
    <x v="1"/>
    <x v="4"/>
  </r>
  <r>
    <x v="129"/>
    <x v="0"/>
    <x v="0"/>
    <x v="129"/>
    <x v="0"/>
    <x v="33"/>
    <x v="1"/>
    <x v="0"/>
    <x v="120"/>
    <x v="78"/>
    <x v="0"/>
    <x v="0"/>
    <x v="33"/>
  </r>
  <r>
    <x v="130"/>
    <x v="0"/>
    <x v="0"/>
    <x v="130"/>
    <x v="0"/>
    <x v="40"/>
    <x v="1"/>
    <x v="0"/>
    <x v="121"/>
    <x v="25"/>
    <x v="0"/>
    <x v="1"/>
    <x v="40"/>
  </r>
  <r>
    <x v="131"/>
    <x v="0"/>
    <x v="0"/>
    <x v="131"/>
    <x v="0"/>
    <x v="11"/>
    <x v="1"/>
    <x v="0"/>
    <x v="122"/>
    <x v="79"/>
    <x v="0"/>
    <x v="0"/>
    <x v="11"/>
  </r>
  <r>
    <x v="132"/>
    <x v="0"/>
    <x v="0"/>
    <x v="132"/>
    <x v="1"/>
    <x v="47"/>
    <x v="0"/>
    <x v="0"/>
    <x v="123"/>
    <x v="80"/>
    <x v="0"/>
    <x v="0"/>
    <x v="47"/>
  </r>
  <r>
    <x v="133"/>
    <x v="1"/>
    <x v="2"/>
    <x v="133"/>
    <x v="1"/>
    <x v="28"/>
    <x v="0"/>
    <x v="0"/>
    <x v="124"/>
    <x v="19"/>
    <x v="0"/>
    <x v="0"/>
    <x v="28"/>
  </r>
  <r>
    <x v="134"/>
    <x v="0"/>
    <x v="2"/>
    <x v="134"/>
    <x v="0"/>
    <x v="37"/>
    <x v="1"/>
    <x v="0"/>
    <x v="125"/>
    <x v="16"/>
    <x v="0"/>
    <x v="0"/>
    <x v="37"/>
  </r>
  <r>
    <x v="135"/>
    <x v="0"/>
    <x v="2"/>
    <x v="135"/>
    <x v="0"/>
    <x v="41"/>
    <x v="1"/>
    <x v="0"/>
    <x v="126"/>
    <x v="81"/>
    <x v="0"/>
    <x v="1"/>
    <x v="41"/>
  </r>
  <r>
    <x v="136"/>
    <x v="1"/>
    <x v="1"/>
    <x v="136"/>
    <x v="1"/>
    <x v="19"/>
    <x v="1"/>
    <x v="2"/>
    <x v="127"/>
    <x v="82"/>
    <x v="25"/>
    <x v="0"/>
    <x v="19"/>
  </r>
  <r>
    <x v="137"/>
    <x v="0"/>
    <x v="1"/>
    <x v="137"/>
    <x v="0"/>
    <x v="46"/>
    <x v="0"/>
    <x v="0"/>
    <x v="3"/>
    <x v="3"/>
    <x v="2"/>
    <x v="0"/>
    <x v="46"/>
  </r>
  <r>
    <x v="138"/>
    <x v="0"/>
    <x v="0"/>
    <x v="138"/>
    <x v="0"/>
    <x v="36"/>
    <x v="1"/>
    <x v="0"/>
    <x v="128"/>
    <x v="83"/>
    <x v="0"/>
    <x v="0"/>
    <x v="36"/>
  </r>
  <r>
    <x v="139"/>
    <x v="0"/>
    <x v="1"/>
    <x v="139"/>
    <x v="0"/>
    <x v="42"/>
    <x v="1"/>
    <x v="0"/>
    <x v="129"/>
    <x v="84"/>
    <x v="26"/>
    <x v="1"/>
    <x v="42"/>
  </r>
  <r>
    <x v="140"/>
    <x v="0"/>
    <x v="0"/>
    <x v="140"/>
    <x v="1"/>
    <x v="4"/>
    <x v="1"/>
    <x v="2"/>
    <x v="130"/>
    <x v="49"/>
    <x v="0"/>
    <x v="1"/>
    <x v="4"/>
  </r>
  <r>
    <x v="141"/>
    <x v="1"/>
    <x v="0"/>
    <x v="141"/>
    <x v="1"/>
    <x v="0"/>
    <x v="1"/>
    <x v="0"/>
    <x v="131"/>
    <x v="28"/>
    <x v="0"/>
    <x v="0"/>
    <x v="0"/>
  </r>
  <r>
    <x v="142"/>
    <x v="1"/>
    <x v="0"/>
    <x v="142"/>
    <x v="1"/>
    <x v="42"/>
    <x v="0"/>
    <x v="0"/>
    <x v="132"/>
    <x v="62"/>
    <x v="0"/>
    <x v="0"/>
    <x v="42"/>
  </r>
  <r>
    <x v="143"/>
    <x v="0"/>
    <x v="0"/>
    <x v="143"/>
    <x v="0"/>
    <x v="19"/>
    <x v="1"/>
    <x v="0"/>
    <x v="133"/>
    <x v="85"/>
    <x v="0"/>
    <x v="2"/>
    <x v="19"/>
  </r>
  <r>
    <x v="144"/>
    <x v="0"/>
    <x v="2"/>
    <x v="144"/>
    <x v="0"/>
    <x v="24"/>
    <x v="1"/>
    <x v="0"/>
    <x v="134"/>
    <x v="86"/>
    <x v="0"/>
    <x v="0"/>
    <x v="24"/>
  </r>
  <r>
    <x v="145"/>
    <x v="0"/>
    <x v="2"/>
    <x v="145"/>
    <x v="0"/>
    <x v="19"/>
    <x v="0"/>
    <x v="1"/>
    <x v="135"/>
    <x v="87"/>
    <x v="0"/>
    <x v="0"/>
    <x v="19"/>
  </r>
  <r>
    <x v="146"/>
    <x v="1"/>
    <x v="0"/>
    <x v="146"/>
    <x v="0"/>
    <x v="7"/>
    <x v="1"/>
    <x v="0"/>
    <x v="136"/>
    <x v="88"/>
    <x v="0"/>
    <x v="0"/>
    <x v="7"/>
  </r>
  <r>
    <x v="147"/>
    <x v="0"/>
    <x v="0"/>
    <x v="147"/>
    <x v="1"/>
    <x v="52"/>
    <x v="4"/>
    <x v="2"/>
    <x v="84"/>
    <x v="63"/>
    <x v="0"/>
    <x v="0"/>
    <x v="52"/>
  </r>
  <r>
    <x v="148"/>
    <x v="0"/>
    <x v="2"/>
    <x v="148"/>
    <x v="0"/>
    <x v="53"/>
    <x v="1"/>
    <x v="2"/>
    <x v="137"/>
    <x v="19"/>
    <x v="27"/>
    <x v="0"/>
    <x v="53"/>
  </r>
  <r>
    <x v="149"/>
    <x v="0"/>
    <x v="2"/>
    <x v="149"/>
    <x v="0"/>
    <x v="22"/>
    <x v="1"/>
    <x v="0"/>
    <x v="138"/>
    <x v="16"/>
    <x v="0"/>
    <x v="0"/>
    <x v="22"/>
  </r>
  <r>
    <x v="150"/>
    <x v="0"/>
    <x v="2"/>
    <x v="150"/>
    <x v="0"/>
    <x v="54"/>
    <x v="1"/>
    <x v="0"/>
    <x v="139"/>
    <x v="89"/>
    <x v="0"/>
    <x v="0"/>
    <x v="54"/>
  </r>
  <r>
    <x v="151"/>
    <x v="1"/>
    <x v="1"/>
    <x v="151"/>
    <x v="1"/>
    <x v="0"/>
    <x v="0"/>
    <x v="0"/>
    <x v="140"/>
    <x v="90"/>
    <x v="28"/>
    <x v="0"/>
    <x v="0"/>
  </r>
  <r>
    <x v="152"/>
    <x v="0"/>
    <x v="0"/>
    <x v="152"/>
    <x v="0"/>
    <x v="55"/>
    <x v="1"/>
    <x v="0"/>
    <x v="141"/>
    <x v="4"/>
    <x v="0"/>
    <x v="0"/>
    <x v="55"/>
  </r>
  <r>
    <x v="153"/>
    <x v="0"/>
    <x v="0"/>
    <x v="153"/>
    <x v="0"/>
    <x v="56"/>
    <x v="1"/>
    <x v="2"/>
    <x v="142"/>
    <x v="80"/>
    <x v="0"/>
    <x v="0"/>
    <x v="56"/>
  </r>
  <r>
    <x v="154"/>
    <x v="0"/>
    <x v="0"/>
    <x v="154"/>
    <x v="0"/>
    <x v="4"/>
    <x v="1"/>
    <x v="0"/>
    <x v="143"/>
    <x v="91"/>
    <x v="0"/>
    <x v="0"/>
    <x v="4"/>
  </r>
  <r>
    <x v="155"/>
    <x v="0"/>
    <x v="1"/>
    <x v="155"/>
    <x v="0"/>
    <x v="54"/>
    <x v="1"/>
    <x v="1"/>
    <x v="144"/>
    <x v="92"/>
    <x v="0"/>
    <x v="1"/>
    <x v="54"/>
  </r>
  <r>
    <x v="156"/>
    <x v="1"/>
    <x v="0"/>
    <x v="156"/>
    <x v="1"/>
    <x v="36"/>
    <x v="1"/>
    <x v="0"/>
    <x v="145"/>
    <x v="93"/>
    <x v="0"/>
    <x v="2"/>
    <x v="36"/>
  </r>
  <r>
    <x v="157"/>
    <x v="0"/>
    <x v="0"/>
    <x v="157"/>
    <x v="0"/>
    <x v="39"/>
    <x v="1"/>
    <x v="0"/>
    <x v="146"/>
    <x v="4"/>
    <x v="0"/>
    <x v="0"/>
    <x v="39"/>
  </r>
  <r>
    <x v="158"/>
    <x v="0"/>
    <x v="0"/>
    <x v="158"/>
    <x v="0"/>
    <x v="4"/>
    <x v="1"/>
    <x v="0"/>
    <x v="147"/>
    <x v="51"/>
    <x v="0"/>
    <x v="0"/>
    <x v="4"/>
  </r>
  <r>
    <x v="159"/>
    <x v="0"/>
    <x v="0"/>
    <x v="159"/>
    <x v="0"/>
    <x v="4"/>
    <x v="6"/>
    <x v="2"/>
    <x v="148"/>
    <x v="94"/>
    <x v="0"/>
    <x v="0"/>
    <x v="4"/>
  </r>
  <r>
    <x v="160"/>
    <x v="0"/>
    <x v="0"/>
    <x v="160"/>
    <x v="0"/>
    <x v="57"/>
    <x v="1"/>
    <x v="1"/>
    <x v="149"/>
    <x v="95"/>
    <x v="0"/>
    <x v="0"/>
    <x v="57"/>
  </r>
  <r>
    <x v="161"/>
    <x v="1"/>
    <x v="2"/>
    <x v="161"/>
    <x v="1"/>
    <x v="20"/>
    <x v="1"/>
    <x v="0"/>
    <x v="150"/>
    <x v="96"/>
    <x v="0"/>
    <x v="0"/>
    <x v="20"/>
  </r>
  <r>
    <x v="162"/>
    <x v="0"/>
    <x v="0"/>
    <x v="162"/>
    <x v="0"/>
    <x v="2"/>
    <x v="1"/>
    <x v="0"/>
    <x v="151"/>
    <x v="71"/>
    <x v="0"/>
    <x v="0"/>
    <x v="2"/>
  </r>
  <r>
    <x v="163"/>
    <x v="0"/>
    <x v="0"/>
    <x v="163"/>
    <x v="0"/>
    <x v="34"/>
    <x v="1"/>
    <x v="0"/>
    <x v="152"/>
    <x v="51"/>
    <x v="0"/>
    <x v="0"/>
    <x v="34"/>
  </r>
  <r>
    <x v="164"/>
    <x v="0"/>
    <x v="0"/>
    <x v="164"/>
    <x v="0"/>
    <x v="58"/>
    <x v="3"/>
    <x v="1"/>
    <x v="49"/>
    <x v="40"/>
    <x v="0"/>
    <x v="0"/>
    <x v="58"/>
  </r>
  <r>
    <x v="165"/>
    <x v="1"/>
    <x v="0"/>
    <x v="165"/>
    <x v="0"/>
    <x v="52"/>
    <x v="1"/>
    <x v="2"/>
    <x v="153"/>
    <x v="97"/>
    <x v="0"/>
    <x v="0"/>
    <x v="52"/>
  </r>
  <r>
    <x v="166"/>
    <x v="1"/>
    <x v="1"/>
    <x v="166"/>
    <x v="1"/>
    <x v="4"/>
    <x v="1"/>
    <x v="1"/>
    <x v="154"/>
    <x v="98"/>
    <x v="29"/>
    <x v="0"/>
    <x v="4"/>
  </r>
  <r>
    <x v="167"/>
    <x v="0"/>
    <x v="0"/>
    <x v="167"/>
    <x v="1"/>
    <x v="33"/>
    <x v="0"/>
    <x v="5"/>
    <x v="62"/>
    <x v="48"/>
    <x v="0"/>
    <x v="0"/>
    <x v="33"/>
  </r>
  <r>
    <x v="168"/>
    <x v="0"/>
    <x v="1"/>
    <x v="168"/>
    <x v="0"/>
    <x v="4"/>
    <x v="1"/>
    <x v="0"/>
    <x v="155"/>
    <x v="99"/>
    <x v="0"/>
    <x v="0"/>
    <x v="4"/>
  </r>
  <r>
    <x v="169"/>
    <x v="0"/>
    <x v="0"/>
    <x v="169"/>
    <x v="0"/>
    <x v="17"/>
    <x v="1"/>
    <x v="0"/>
    <x v="72"/>
    <x v="54"/>
    <x v="0"/>
    <x v="0"/>
    <x v="17"/>
  </r>
  <r>
    <x v="170"/>
    <x v="0"/>
    <x v="1"/>
    <x v="170"/>
    <x v="0"/>
    <x v="59"/>
    <x v="1"/>
    <x v="0"/>
    <x v="156"/>
    <x v="100"/>
    <x v="30"/>
    <x v="0"/>
    <x v="59"/>
  </r>
  <r>
    <x v="171"/>
    <x v="0"/>
    <x v="0"/>
    <x v="171"/>
    <x v="0"/>
    <x v="9"/>
    <x v="3"/>
    <x v="1"/>
    <x v="16"/>
    <x v="15"/>
    <x v="0"/>
    <x v="2"/>
    <x v="9"/>
  </r>
  <r>
    <x v="172"/>
    <x v="1"/>
    <x v="0"/>
    <x v="172"/>
    <x v="1"/>
    <x v="58"/>
    <x v="0"/>
    <x v="1"/>
    <x v="8"/>
    <x v="8"/>
    <x v="0"/>
    <x v="0"/>
    <x v="58"/>
  </r>
  <r>
    <x v="173"/>
    <x v="0"/>
    <x v="0"/>
    <x v="173"/>
    <x v="0"/>
    <x v="23"/>
    <x v="1"/>
    <x v="0"/>
    <x v="157"/>
    <x v="2"/>
    <x v="0"/>
    <x v="0"/>
    <x v="23"/>
  </r>
  <r>
    <x v="174"/>
    <x v="0"/>
    <x v="1"/>
    <x v="174"/>
    <x v="0"/>
    <x v="60"/>
    <x v="1"/>
    <x v="0"/>
    <x v="158"/>
    <x v="101"/>
    <x v="31"/>
    <x v="1"/>
    <x v="60"/>
  </r>
  <r>
    <x v="175"/>
    <x v="0"/>
    <x v="0"/>
    <x v="175"/>
    <x v="0"/>
    <x v="24"/>
    <x v="0"/>
    <x v="1"/>
    <x v="159"/>
    <x v="13"/>
    <x v="0"/>
    <x v="0"/>
    <x v="24"/>
  </r>
  <r>
    <x v="176"/>
    <x v="0"/>
    <x v="0"/>
    <x v="176"/>
    <x v="0"/>
    <x v="4"/>
    <x v="2"/>
    <x v="1"/>
    <x v="160"/>
    <x v="102"/>
    <x v="0"/>
    <x v="0"/>
    <x v="4"/>
  </r>
  <r>
    <x v="177"/>
    <x v="0"/>
    <x v="1"/>
    <x v="177"/>
    <x v="1"/>
    <x v="61"/>
    <x v="1"/>
    <x v="0"/>
    <x v="161"/>
    <x v="103"/>
    <x v="32"/>
    <x v="1"/>
    <x v="61"/>
  </r>
  <r>
    <x v="178"/>
    <x v="0"/>
    <x v="2"/>
    <x v="178"/>
    <x v="0"/>
    <x v="39"/>
    <x v="1"/>
    <x v="0"/>
    <x v="162"/>
    <x v="16"/>
    <x v="0"/>
    <x v="0"/>
    <x v="39"/>
  </r>
  <r>
    <x v="179"/>
    <x v="0"/>
    <x v="0"/>
    <x v="179"/>
    <x v="0"/>
    <x v="62"/>
    <x v="1"/>
    <x v="0"/>
    <x v="163"/>
    <x v="104"/>
    <x v="0"/>
    <x v="0"/>
    <x v="62"/>
  </r>
  <r>
    <x v="180"/>
    <x v="0"/>
    <x v="0"/>
    <x v="180"/>
    <x v="1"/>
    <x v="4"/>
    <x v="6"/>
    <x v="2"/>
    <x v="148"/>
    <x v="94"/>
    <x v="0"/>
    <x v="0"/>
    <x v="4"/>
  </r>
  <r>
    <x v="181"/>
    <x v="0"/>
    <x v="2"/>
    <x v="181"/>
    <x v="0"/>
    <x v="4"/>
    <x v="1"/>
    <x v="0"/>
    <x v="164"/>
    <x v="105"/>
    <x v="0"/>
    <x v="1"/>
    <x v="4"/>
  </r>
  <r>
    <x v="182"/>
    <x v="0"/>
    <x v="0"/>
    <x v="182"/>
    <x v="0"/>
    <x v="52"/>
    <x v="3"/>
    <x v="2"/>
    <x v="24"/>
    <x v="22"/>
    <x v="0"/>
    <x v="0"/>
    <x v="52"/>
  </r>
  <r>
    <x v="183"/>
    <x v="1"/>
    <x v="2"/>
    <x v="183"/>
    <x v="0"/>
    <x v="58"/>
    <x v="4"/>
    <x v="1"/>
    <x v="165"/>
    <x v="106"/>
    <x v="33"/>
    <x v="0"/>
    <x v="58"/>
  </r>
  <r>
    <x v="184"/>
    <x v="1"/>
    <x v="0"/>
    <x v="184"/>
    <x v="1"/>
    <x v="9"/>
    <x v="1"/>
    <x v="2"/>
    <x v="166"/>
    <x v="107"/>
    <x v="0"/>
    <x v="0"/>
    <x v="9"/>
  </r>
  <r>
    <x v="185"/>
    <x v="0"/>
    <x v="1"/>
    <x v="185"/>
    <x v="0"/>
    <x v="4"/>
    <x v="1"/>
    <x v="0"/>
    <x v="167"/>
    <x v="108"/>
    <x v="34"/>
    <x v="0"/>
    <x v="4"/>
  </r>
  <r>
    <x v="186"/>
    <x v="1"/>
    <x v="0"/>
    <x v="186"/>
    <x v="1"/>
    <x v="4"/>
    <x v="0"/>
    <x v="0"/>
    <x v="168"/>
    <x v="37"/>
    <x v="0"/>
    <x v="2"/>
    <x v="4"/>
  </r>
  <r>
    <x v="187"/>
    <x v="1"/>
    <x v="1"/>
    <x v="187"/>
    <x v="0"/>
    <x v="33"/>
    <x v="1"/>
    <x v="0"/>
    <x v="169"/>
    <x v="11"/>
    <x v="0"/>
    <x v="0"/>
    <x v="33"/>
  </r>
  <r>
    <x v="188"/>
    <x v="0"/>
    <x v="0"/>
    <x v="188"/>
    <x v="0"/>
    <x v="20"/>
    <x v="0"/>
    <x v="1"/>
    <x v="170"/>
    <x v="37"/>
    <x v="0"/>
    <x v="2"/>
    <x v="20"/>
  </r>
  <r>
    <x v="189"/>
    <x v="0"/>
    <x v="0"/>
    <x v="189"/>
    <x v="0"/>
    <x v="62"/>
    <x v="1"/>
    <x v="0"/>
    <x v="171"/>
    <x v="25"/>
    <x v="0"/>
    <x v="0"/>
    <x v="62"/>
  </r>
  <r>
    <x v="190"/>
    <x v="1"/>
    <x v="2"/>
    <x v="190"/>
    <x v="1"/>
    <x v="35"/>
    <x v="1"/>
    <x v="0"/>
    <x v="172"/>
    <x v="16"/>
    <x v="0"/>
    <x v="0"/>
    <x v="35"/>
  </r>
  <r>
    <x v="191"/>
    <x v="0"/>
    <x v="2"/>
    <x v="191"/>
    <x v="0"/>
    <x v="19"/>
    <x v="1"/>
    <x v="0"/>
    <x v="173"/>
    <x v="16"/>
    <x v="0"/>
    <x v="0"/>
    <x v="19"/>
  </r>
  <r>
    <x v="192"/>
    <x v="1"/>
    <x v="0"/>
    <x v="192"/>
    <x v="1"/>
    <x v="19"/>
    <x v="0"/>
    <x v="0"/>
    <x v="174"/>
    <x v="13"/>
    <x v="0"/>
    <x v="0"/>
    <x v="19"/>
  </r>
  <r>
    <x v="193"/>
    <x v="1"/>
    <x v="2"/>
    <x v="193"/>
    <x v="0"/>
    <x v="25"/>
    <x v="0"/>
    <x v="1"/>
    <x v="137"/>
    <x v="19"/>
    <x v="27"/>
    <x v="0"/>
    <x v="25"/>
  </r>
  <r>
    <x v="194"/>
    <x v="1"/>
    <x v="1"/>
    <x v="194"/>
    <x v="1"/>
    <x v="57"/>
    <x v="1"/>
    <x v="0"/>
    <x v="175"/>
    <x v="26"/>
    <x v="35"/>
    <x v="1"/>
    <x v="57"/>
  </r>
  <r>
    <x v="195"/>
    <x v="1"/>
    <x v="1"/>
    <x v="195"/>
    <x v="1"/>
    <x v="10"/>
    <x v="1"/>
    <x v="0"/>
    <x v="30"/>
    <x v="27"/>
    <x v="36"/>
    <x v="1"/>
    <x v="10"/>
  </r>
  <r>
    <x v="196"/>
    <x v="0"/>
    <x v="0"/>
    <x v="196"/>
    <x v="0"/>
    <x v="4"/>
    <x v="1"/>
    <x v="0"/>
    <x v="176"/>
    <x v="28"/>
    <x v="0"/>
    <x v="2"/>
    <x v="4"/>
  </r>
  <r>
    <x v="197"/>
    <x v="0"/>
    <x v="0"/>
    <x v="197"/>
    <x v="0"/>
    <x v="22"/>
    <x v="1"/>
    <x v="1"/>
    <x v="177"/>
    <x v="109"/>
    <x v="0"/>
    <x v="0"/>
    <x v="22"/>
  </r>
  <r>
    <x v="198"/>
    <x v="1"/>
    <x v="0"/>
    <x v="198"/>
    <x v="1"/>
    <x v="4"/>
    <x v="1"/>
    <x v="0"/>
    <x v="178"/>
    <x v="28"/>
    <x v="0"/>
    <x v="2"/>
    <x v="4"/>
  </r>
  <r>
    <x v="199"/>
    <x v="0"/>
    <x v="2"/>
    <x v="199"/>
    <x v="1"/>
    <x v="42"/>
    <x v="1"/>
    <x v="0"/>
    <x v="179"/>
    <x v="16"/>
    <x v="0"/>
    <x v="0"/>
    <x v="42"/>
  </r>
  <r>
    <x v="200"/>
    <x v="0"/>
    <x v="0"/>
    <x v="200"/>
    <x v="0"/>
    <x v="17"/>
    <x v="1"/>
    <x v="0"/>
    <x v="180"/>
    <x v="59"/>
    <x v="0"/>
    <x v="0"/>
    <x v="17"/>
  </r>
  <r>
    <x v="201"/>
    <x v="0"/>
    <x v="0"/>
    <x v="201"/>
    <x v="0"/>
    <x v="4"/>
    <x v="6"/>
    <x v="2"/>
    <x v="148"/>
    <x v="94"/>
    <x v="0"/>
    <x v="0"/>
    <x v="4"/>
  </r>
  <r>
    <x v="202"/>
    <x v="0"/>
    <x v="0"/>
    <x v="202"/>
    <x v="0"/>
    <x v="15"/>
    <x v="1"/>
    <x v="0"/>
    <x v="181"/>
    <x v="110"/>
    <x v="0"/>
    <x v="0"/>
    <x v="15"/>
  </r>
  <r>
    <x v="203"/>
    <x v="0"/>
    <x v="0"/>
    <x v="203"/>
    <x v="0"/>
    <x v="63"/>
    <x v="1"/>
    <x v="0"/>
    <x v="182"/>
    <x v="18"/>
    <x v="0"/>
    <x v="1"/>
    <x v="63"/>
  </r>
  <r>
    <x v="204"/>
    <x v="1"/>
    <x v="0"/>
    <x v="204"/>
    <x v="0"/>
    <x v="24"/>
    <x v="1"/>
    <x v="0"/>
    <x v="183"/>
    <x v="4"/>
    <x v="0"/>
    <x v="0"/>
    <x v="24"/>
  </r>
  <r>
    <x v="205"/>
    <x v="0"/>
    <x v="0"/>
    <x v="205"/>
    <x v="1"/>
    <x v="6"/>
    <x v="1"/>
    <x v="1"/>
    <x v="184"/>
    <x v="111"/>
    <x v="4"/>
    <x v="0"/>
    <x v="6"/>
  </r>
  <r>
    <x v="206"/>
    <x v="0"/>
    <x v="0"/>
    <x v="206"/>
    <x v="0"/>
    <x v="35"/>
    <x v="0"/>
    <x v="0"/>
    <x v="83"/>
    <x v="62"/>
    <x v="0"/>
    <x v="0"/>
    <x v="35"/>
  </r>
  <r>
    <x v="207"/>
    <x v="1"/>
    <x v="0"/>
    <x v="207"/>
    <x v="0"/>
    <x v="2"/>
    <x v="1"/>
    <x v="0"/>
    <x v="185"/>
    <x v="112"/>
    <x v="0"/>
    <x v="1"/>
    <x v="2"/>
  </r>
  <r>
    <x v="208"/>
    <x v="1"/>
    <x v="0"/>
    <x v="208"/>
    <x v="1"/>
    <x v="36"/>
    <x v="1"/>
    <x v="0"/>
    <x v="186"/>
    <x v="28"/>
    <x v="0"/>
    <x v="2"/>
    <x v="36"/>
  </r>
  <r>
    <x v="209"/>
    <x v="1"/>
    <x v="1"/>
    <x v="209"/>
    <x v="0"/>
    <x v="20"/>
    <x v="1"/>
    <x v="0"/>
    <x v="187"/>
    <x v="113"/>
    <x v="37"/>
    <x v="1"/>
    <x v="20"/>
  </r>
  <r>
    <x v="210"/>
    <x v="0"/>
    <x v="0"/>
    <x v="210"/>
    <x v="0"/>
    <x v="42"/>
    <x v="1"/>
    <x v="0"/>
    <x v="188"/>
    <x v="79"/>
    <x v="0"/>
    <x v="0"/>
    <x v="42"/>
  </r>
  <r>
    <x v="211"/>
    <x v="1"/>
    <x v="2"/>
    <x v="211"/>
    <x v="1"/>
    <x v="3"/>
    <x v="1"/>
    <x v="0"/>
    <x v="189"/>
    <x v="35"/>
    <x v="0"/>
    <x v="0"/>
    <x v="3"/>
  </r>
  <r>
    <x v="212"/>
    <x v="0"/>
    <x v="0"/>
    <x v="212"/>
    <x v="0"/>
    <x v="0"/>
    <x v="1"/>
    <x v="0"/>
    <x v="190"/>
    <x v="0"/>
    <x v="0"/>
    <x v="0"/>
    <x v="0"/>
  </r>
  <r>
    <x v="213"/>
    <x v="0"/>
    <x v="2"/>
    <x v="213"/>
    <x v="0"/>
    <x v="39"/>
    <x v="1"/>
    <x v="0"/>
    <x v="191"/>
    <x v="16"/>
    <x v="0"/>
    <x v="0"/>
    <x v="39"/>
  </r>
  <r>
    <x v="214"/>
    <x v="0"/>
    <x v="0"/>
    <x v="214"/>
    <x v="0"/>
    <x v="4"/>
    <x v="0"/>
    <x v="0"/>
    <x v="192"/>
    <x v="28"/>
    <x v="0"/>
    <x v="2"/>
    <x v="4"/>
  </r>
  <r>
    <x v="215"/>
    <x v="1"/>
    <x v="1"/>
    <x v="215"/>
    <x v="1"/>
    <x v="14"/>
    <x v="0"/>
    <x v="0"/>
    <x v="193"/>
    <x v="114"/>
    <x v="38"/>
    <x v="1"/>
    <x v="14"/>
  </r>
  <r>
    <x v="216"/>
    <x v="1"/>
    <x v="0"/>
    <x v="216"/>
    <x v="1"/>
    <x v="7"/>
    <x v="1"/>
    <x v="0"/>
    <x v="194"/>
    <x v="2"/>
    <x v="0"/>
    <x v="0"/>
    <x v="7"/>
  </r>
  <r>
    <x v="217"/>
    <x v="0"/>
    <x v="2"/>
    <x v="217"/>
    <x v="0"/>
    <x v="22"/>
    <x v="0"/>
    <x v="0"/>
    <x v="195"/>
    <x v="115"/>
    <x v="0"/>
    <x v="0"/>
    <x v="22"/>
  </r>
  <r>
    <x v="218"/>
    <x v="1"/>
    <x v="1"/>
    <x v="218"/>
    <x v="1"/>
    <x v="35"/>
    <x v="1"/>
    <x v="0"/>
    <x v="196"/>
    <x v="116"/>
    <x v="39"/>
    <x v="1"/>
    <x v="35"/>
  </r>
  <r>
    <x v="219"/>
    <x v="0"/>
    <x v="2"/>
    <x v="219"/>
    <x v="0"/>
    <x v="39"/>
    <x v="1"/>
    <x v="0"/>
    <x v="197"/>
    <x v="29"/>
    <x v="0"/>
    <x v="0"/>
    <x v="39"/>
  </r>
  <r>
    <x v="220"/>
    <x v="1"/>
    <x v="0"/>
    <x v="220"/>
    <x v="0"/>
    <x v="36"/>
    <x v="1"/>
    <x v="0"/>
    <x v="198"/>
    <x v="4"/>
    <x v="0"/>
    <x v="0"/>
    <x v="36"/>
  </r>
  <r>
    <x v="221"/>
    <x v="0"/>
    <x v="2"/>
    <x v="221"/>
    <x v="0"/>
    <x v="7"/>
    <x v="1"/>
    <x v="0"/>
    <x v="199"/>
    <x v="16"/>
    <x v="0"/>
    <x v="0"/>
    <x v="7"/>
  </r>
  <r>
    <x v="222"/>
    <x v="0"/>
    <x v="0"/>
    <x v="222"/>
    <x v="0"/>
    <x v="54"/>
    <x v="1"/>
    <x v="0"/>
    <x v="200"/>
    <x v="4"/>
    <x v="0"/>
    <x v="0"/>
    <x v="54"/>
  </r>
  <r>
    <x v="223"/>
    <x v="0"/>
    <x v="0"/>
    <x v="223"/>
    <x v="0"/>
    <x v="4"/>
    <x v="1"/>
    <x v="0"/>
    <x v="201"/>
    <x v="25"/>
    <x v="0"/>
    <x v="0"/>
    <x v="4"/>
  </r>
  <r>
    <x v="224"/>
    <x v="1"/>
    <x v="1"/>
    <x v="224"/>
    <x v="0"/>
    <x v="1"/>
    <x v="0"/>
    <x v="0"/>
    <x v="202"/>
    <x v="117"/>
    <x v="40"/>
    <x v="0"/>
    <x v="1"/>
  </r>
  <r>
    <x v="225"/>
    <x v="0"/>
    <x v="0"/>
    <x v="225"/>
    <x v="0"/>
    <x v="0"/>
    <x v="1"/>
    <x v="0"/>
    <x v="203"/>
    <x v="118"/>
    <x v="0"/>
    <x v="0"/>
    <x v="0"/>
  </r>
  <r>
    <x v="226"/>
    <x v="1"/>
    <x v="2"/>
    <x v="226"/>
    <x v="0"/>
    <x v="19"/>
    <x v="1"/>
    <x v="0"/>
    <x v="204"/>
    <x v="29"/>
    <x v="0"/>
    <x v="0"/>
    <x v="19"/>
  </r>
  <r>
    <x v="227"/>
    <x v="0"/>
    <x v="0"/>
    <x v="227"/>
    <x v="0"/>
    <x v="64"/>
    <x v="1"/>
    <x v="0"/>
    <x v="205"/>
    <x v="0"/>
    <x v="0"/>
    <x v="0"/>
    <x v="64"/>
  </r>
  <r>
    <x v="228"/>
    <x v="0"/>
    <x v="2"/>
    <x v="228"/>
    <x v="0"/>
    <x v="24"/>
    <x v="1"/>
    <x v="0"/>
    <x v="206"/>
    <x v="16"/>
    <x v="0"/>
    <x v="0"/>
    <x v="24"/>
  </r>
  <r>
    <x v="229"/>
    <x v="0"/>
    <x v="0"/>
    <x v="229"/>
    <x v="1"/>
    <x v="4"/>
    <x v="2"/>
    <x v="1"/>
    <x v="160"/>
    <x v="102"/>
    <x v="0"/>
    <x v="0"/>
    <x v="4"/>
  </r>
  <r>
    <x v="230"/>
    <x v="1"/>
    <x v="1"/>
    <x v="230"/>
    <x v="1"/>
    <x v="3"/>
    <x v="0"/>
    <x v="0"/>
    <x v="61"/>
    <x v="47"/>
    <x v="14"/>
    <x v="0"/>
    <x v="3"/>
  </r>
  <r>
    <x v="231"/>
    <x v="0"/>
    <x v="0"/>
    <x v="231"/>
    <x v="0"/>
    <x v="28"/>
    <x v="1"/>
    <x v="0"/>
    <x v="207"/>
    <x v="71"/>
    <x v="0"/>
    <x v="0"/>
    <x v="28"/>
  </r>
  <r>
    <x v="232"/>
    <x v="0"/>
    <x v="2"/>
    <x v="232"/>
    <x v="0"/>
    <x v="44"/>
    <x v="1"/>
    <x v="0"/>
    <x v="208"/>
    <x v="119"/>
    <x v="0"/>
    <x v="0"/>
    <x v="44"/>
  </r>
  <r>
    <x v="233"/>
    <x v="1"/>
    <x v="0"/>
    <x v="233"/>
    <x v="1"/>
    <x v="31"/>
    <x v="3"/>
    <x v="2"/>
    <x v="24"/>
    <x v="22"/>
    <x v="0"/>
    <x v="0"/>
    <x v="31"/>
  </r>
  <r>
    <x v="234"/>
    <x v="0"/>
    <x v="2"/>
    <x v="234"/>
    <x v="0"/>
    <x v="42"/>
    <x v="1"/>
    <x v="0"/>
    <x v="209"/>
    <x v="29"/>
    <x v="0"/>
    <x v="0"/>
    <x v="42"/>
  </r>
  <r>
    <x v="235"/>
    <x v="0"/>
    <x v="0"/>
    <x v="235"/>
    <x v="1"/>
    <x v="4"/>
    <x v="1"/>
    <x v="0"/>
    <x v="210"/>
    <x v="120"/>
    <x v="0"/>
    <x v="0"/>
    <x v="4"/>
  </r>
  <r>
    <x v="236"/>
    <x v="0"/>
    <x v="2"/>
    <x v="236"/>
    <x v="0"/>
    <x v="57"/>
    <x v="0"/>
    <x v="0"/>
    <x v="211"/>
    <x v="19"/>
    <x v="0"/>
    <x v="0"/>
    <x v="57"/>
  </r>
  <r>
    <x v="237"/>
    <x v="1"/>
    <x v="2"/>
    <x v="237"/>
    <x v="1"/>
    <x v="18"/>
    <x v="1"/>
    <x v="2"/>
    <x v="212"/>
    <x v="121"/>
    <x v="0"/>
    <x v="0"/>
    <x v="18"/>
  </r>
  <r>
    <x v="238"/>
    <x v="0"/>
    <x v="2"/>
    <x v="238"/>
    <x v="0"/>
    <x v="19"/>
    <x v="1"/>
    <x v="0"/>
    <x v="213"/>
    <x v="29"/>
    <x v="0"/>
    <x v="0"/>
    <x v="19"/>
  </r>
  <r>
    <x v="239"/>
    <x v="0"/>
    <x v="2"/>
    <x v="239"/>
    <x v="0"/>
    <x v="40"/>
    <x v="1"/>
    <x v="0"/>
    <x v="214"/>
    <x v="122"/>
    <x v="0"/>
    <x v="0"/>
    <x v="40"/>
  </r>
  <r>
    <x v="240"/>
    <x v="0"/>
    <x v="0"/>
    <x v="240"/>
    <x v="1"/>
    <x v="4"/>
    <x v="0"/>
    <x v="0"/>
    <x v="108"/>
    <x v="53"/>
    <x v="0"/>
    <x v="1"/>
    <x v="4"/>
  </r>
  <r>
    <x v="241"/>
    <x v="1"/>
    <x v="0"/>
    <x v="241"/>
    <x v="1"/>
    <x v="4"/>
    <x v="0"/>
    <x v="0"/>
    <x v="215"/>
    <x v="37"/>
    <x v="0"/>
    <x v="2"/>
    <x v="4"/>
  </r>
  <r>
    <x v="242"/>
    <x v="0"/>
    <x v="2"/>
    <x v="242"/>
    <x v="0"/>
    <x v="28"/>
    <x v="1"/>
    <x v="0"/>
    <x v="216"/>
    <x v="29"/>
    <x v="0"/>
    <x v="0"/>
    <x v="28"/>
  </r>
  <r>
    <x v="243"/>
    <x v="0"/>
    <x v="0"/>
    <x v="243"/>
    <x v="0"/>
    <x v="0"/>
    <x v="1"/>
    <x v="0"/>
    <x v="217"/>
    <x v="123"/>
    <x v="0"/>
    <x v="0"/>
    <x v="0"/>
  </r>
  <r>
    <x v="244"/>
    <x v="0"/>
    <x v="0"/>
    <x v="244"/>
    <x v="0"/>
    <x v="39"/>
    <x v="1"/>
    <x v="0"/>
    <x v="218"/>
    <x v="18"/>
    <x v="0"/>
    <x v="1"/>
    <x v="39"/>
  </r>
  <r>
    <x v="245"/>
    <x v="0"/>
    <x v="1"/>
    <x v="245"/>
    <x v="0"/>
    <x v="57"/>
    <x v="4"/>
    <x v="0"/>
    <x v="219"/>
    <x v="117"/>
    <x v="41"/>
    <x v="2"/>
    <x v="57"/>
  </r>
  <r>
    <x v="246"/>
    <x v="0"/>
    <x v="0"/>
    <x v="246"/>
    <x v="1"/>
    <x v="37"/>
    <x v="1"/>
    <x v="0"/>
    <x v="220"/>
    <x v="71"/>
    <x v="0"/>
    <x v="0"/>
    <x v="37"/>
  </r>
  <r>
    <x v="247"/>
    <x v="1"/>
    <x v="2"/>
    <x v="247"/>
    <x v="1"/>
    <x v="42"/>
    <x v="1"/>
    <x v="2"/>
    <x v="221"/>
    <x v="80"/>
    <x v="0"/>
    <x v="0"/>
    <x v="42"/>
  </r>
  <r>
    <x v="248"/>
    <x v="1"/>
    <x v="1"/>
    <x v="248"/>
    <x v="0"/>
    <x v="46"/>
    <x v="0"/>
    <x v="1"/>
    <x v="222"/>
    <x v="124"/>
    <x v="42"/>
    <x v="0"/>
    <x v="46"/>
  </r>
  <r>
    <x v="249"/>
    <x v="0"/>
    <x v="2"/>
    <x v="249"/>
    <x v="0"/>
    <x v="5"/>
    <x v="0"/>
    <x v="0"/>
    <x v="223"/>
    <x v="19"/>
    <x v="0"/>
    <x v="0"/>
    <x v="5"/>
  </r>
  <r>
    <x v="250"/>
    <x v="0"/>
    <x v="0"/>
    <x v="250"/>
    <x v="0"/>
    <x v="4"/>
    <x v="1"/>
    <x v="0"/>
    <x v="224"/>
    <x v="0"/>
    <x v="0"/>
    <x v="0"/>
    <x v="4"/>
  </r>
  <r>
    <x v="251"/>
    <x v="0"/>
    <x v="0"/>
    <x v="251"/>
    <x v="1"/>
    <x v="28"/>
    <x v="0"/>
    <x v="1"/>
    <x v="184"/>
    <x v="111"/>
    <x v="4"/>
    <x v="0"/>
    <x v="28"/>
  </r>
  <r>
    <x v="252"/>
    <x v="0"/>
    <x v="1"/>
    <x v="252"/>
    <x v="0"/>
    <x v="65"/>
    <x v="1"/>
    <x v="0"/>
    <x v="225"/>
    <x v="11"/>
    <x v="43"/>
    <x v="0"/>
    <x v="65"/>
  </r>
  <r>
    <x v="253"/>
    <x v="0"/>
    <x v="0"/>
    <x v="253"/>
    <x v="0"/>
    <x v="39"/>
    <x v="0"/>
    <x v="0"/>
    <x v="226"/>
    <x v="95"/>
    <x v="0"/>
    <x v="0"/>
    <x v="39"/>
  </r>
  <r>
    <x v="254"/>
    <x v="0"/>
    <x v="0"/>
    <x v="254"/>
    <x v="1"/>
    <x v="66"/>
    <x v="1"/>
    <x v="2"/>
    <x v="227"/>
    <x v="125"/>
    <x v="0"/>
    <x v="0"/>
    <x v="66"/>
  </r>
  <r>
    <x v="255"/>
    <x v="1"/>
    <x v="0"/>
    <x v="255"/>
    <x v="1"/>
    <x v="28"/>
    <x v="1"/>
    <x v="2"/>
    <x v="228"/>
    <x v="49"/>
    <x v="0"/>
    <x v="1"/>
    <x v="28"/>
  </r>
  <r>
    <x v="256"/>
    <x v="1"/>
    <x v="1"/>
    <x v="256"/>
    <x v="1"/>
    <x v="4"/>
    <x v="1"/>
    <x v="0"/>
    <x v="229"/>
    <x v="84"/>
    <x v="0"/>
    <x v="1"/>
    <x v="4"/>
  </r>
  <r>
    <x v="257"/>
    <x v="1"/>
    <x v="1"/>
    <x v="257"/>
    <x v="1"/>
    <x v="39"/>
    <x v="1"/>
    <x v="0"/>
    <x v="230"/>
    <x v="126"/>
    <x v="44"/>
    <x v="0"/>
    <x v="39"/>
  </r>
  <r>
    <x v="258"/>
    <x v="1"/>
    <x v="1"/>
    <x v="258"/>
    <x v="1"/>
    <x v="3"/>
    <x v="1"/>
    <x v="0"/>
    <x v="231"/>
    <x v="127"/>
    <x v="0"/>
    <x v="1"/>
    <x v="3"/>
  </r>
  <r>
    <x v="259"/>
    <x v="1"/>
    <x v="2"/>
    <x v="259"/>
    <x v="1"/>
    <x v="61"/>
    <x v="1"/>
    <x v="1"/>
    <x v="232"/>
    <x v="19"/>
    <x v="0"/>
    <x v="0"/>
    <x v="61"/>
  </r>
  <r>
    <x v="260"/>
    <x v="0"/>
    <x v="0"/>
    <x v="260"/>
    <x v="0"/>
    <x v="4"/>
    <x v="1"/>
    <x v="0"/>
    <x v="233"/>
    <x v="28"/>
    <x v="0"/>
    <x v="2"/>
    <x v="4"/>
  </r>
  <r>
    <x v="261"/>
    <x v="1"/>
    <x v="0"/>
    <x v="261"/>
    <x v="0"/>
    <x v="25"/>
    <x v="3"/>
    <x v="2"/>
    <x v="24"/>
    <x v="22"/>
    <x v="0"/>
    <x v="0"/>
    <x v="25"/>
  </r>
  <r>
    <x v="262"/>
    <x v="0"/>
    <x v="1"/>
    <x v="262"/>
    <x v="0"/>
    <x v="67"/>
    <x v="0"/>
    <x v="1"/>
    <x v="234"/>
    <x v="128"/>
    <x v="45"/>
    <x v="0"/>
    <x v="67"/>
  </r>
  <r>
    <x v="263"/>
    <x v="0"/>
    <x v="1"/>
    <x v="263"/>
    <x v="0"/>
    <x v="20"/>
    <x v="1"/>
    <x v="0"/>
    <x v="235"/>
    <x v="104"/>
    <x v="46"/>
    <x v="0"/>
    <x v="20"/>
  </r>
  <r>
    <x v="264"/>
    <x v="0"/>
    <x v="0"/>
    <x v="264"/>
    <x v="1"/>
    <x v="4"/>
    <x v="1"/>
    <x v="0"/>
    <x v="236"/>
    <x v="28"/>
    <x v="0"/>
    <x v="2"/>
    <x v="4"/>
  </r>
  <r>
    <x v="265"/>
    <x v="0"/>
    <x v="2"/>
    <x v="265"/>
    <x v="0"/>
    <x v="62"/>
    <x v="1"/>
    <x v="0"/>
    <x v="237"/>
    <x v="29"/>
    <x v="0"/>
    <x v="0"/>
    <x v="62"/>
  </r>
  <r>
    <x v="266"/>
    <x v="0"/>
    <x v="0"/>
    <x v="266"/>
    <x v="0"/>
    <x v="36"/>
    <x v="3"/>
    <x v="1"/>
    <x v="49"/>
    <x v="40"/>
    <x v="0"/>
    <x v="0"/>
    <x v="36"/>
  </r>
  <r>
    <x v="267"/>
    <x v="1"/>
    <x v="0"/>
    <x v="267"/>
    <x v="0"/>
    <x v="37"/>
    <x v="0"/>
    <x v="0"/>
    <x v="238"/>
    <x v="71"/>
    <x v="0"/>
    <x v="0"/>
    <x v="37"/>
  </r>
  <r>
    <x v="268"/>
    <x v="1"/>
    <x v="1"/>
    <x v="268"/>
    <x v="1"/>
    <x v="10"/>
    <x v="1"/>
    <x v="1"/>
    <x v="239"/>
    <x v="129"/>
    <x v="47"/>
    <x v="0"/>
    <x v="10"/>
  </r>
  <r>
    <x v="269"/>
    <x v="1"/>
    <x v="1"/>
    <x v="269"/>
    <x v="1"/>
    <x v="3"/>
    <x v="1"/>
    <x v="0"/>
    <x v="240"/>
    <x v="130"/>
    <x v="48"/>
    <x v="0"/>
    <x v="3"/>
  </r>
  <r>
    <x v="270"/>
    <x v="0"/>
    <x v="1"/>
    <x v="270"/>
    <x v="0"/>
    <x v="4"/>
    <x v="1"/>
    <x v="0"/>
    <x v="241"/>
    <x v="113"/>
    <x v="0"/>
    <x v="0"/>
    <x v="4"/>
  </r>
  <r>
    <x v="271"/>
    <x v="1"/>
    <x v="0"/>
    <x v="271"/>
    <x v="0"/>
    <x v="37"/>
    <x v="1"/>
    <x v="0"/>
    <x v="163"/>
    <x v="104"/>
    <x v="0"/>
    <x v="0"/>
    <x v="37"/>
  </r>
  <r>
    <x v="272"/>
    <x v="1"/>
    <x v="2"/>
    <x v="272"/>
    <x v="1"/>
    <x v="66"/>
    <x v="1"/>
    <x v="1"/>
    <x v="242"/>
    <x v="131"/>
    <x v="0"/>
    <x v="0"/>
    <x v="66"/>
  </r>
  <r>
    <x v="273"/>
    <x v="0"/>
    <x v="1"/>
    <x v="273"/>
    <x v="0"/>
    <x v="46"/>
    <x v="1"/>
    <x v="1"/>
    <x v="243"/>
    <x v="132"/>
    <x v="49"/>
    <x v="1"/>
    <x v="46"/>
  </r>
  <r>
    <x v="274"/>
    <x v="1"/>
    <x v="0"/>
    <x v="274"/>
    <x v="1"/>
    <x v="4"/>
    <x v="1"/>
    <x v="0"/>
    <x v="244"/>
    <x v="28"/>
    <x v="0"/>
    <x v="2"/>
    <x v="4"/>
  </r>
  <r>
    <x v="275"/>
    <x v="1"/>
    <x v="1"/>
    <x v="275"/>
    <x v="1"/>
    <x v="68"/>
    <x v="0"/>
    <x v="0"/>
    <x v="245"/>
    <x v="133"/>
    <x v="50"/>
    <x v="0"/>
    <x v="68"/>
  </r>
  <r>
    <x v="276"/>
    <x v="0"/>
    <x v="0"/>
    <x v="276"/>
    <x v="1"/>
    <x v="33"/>
    <x v="1"/>
    <x v="0"/>
    <x v="246"/>
    <x v="28"/>
    <x v="0"/>
    <x v="0"/>
    <x v="33"/>
  </r>
  <r>
    <x v="277"/>
    <x v="0"/>
    <x v="2"/>
    <x v="277"/>
    <x v="0"/>
    <x v="4"/>
    <x v="1"/>
    <x v="0"/>
    <x v="247"/>
    <x v="104"/>
    <x v="0"/>
    <x v="0"/>
    <x v="4"/>
  </r>
  <r>
    <x v="278"/>
    <x v="0"/>
    <x v="0"/>
    <x v="278"/>
    <x v="0"/>
    <x v="26"/>
    <x v="3"/>
    <x v="1"/>
    <x v="16"/>
    <x v="15"/>
    <x v="0"/>
    <x v="2"/>
    <x v="26"/>
  </r>
  <r>
    <x v="279"/>
    <x v="1"/>
    <x v="0"/>
    <x v="279"/>
    <x v="1"/>
    <x v="3"/>
    <x v="0"/>
    <x v="1"/>
    <x v="248"/>
    <x v="134"/>
    <x v="0"/>
    <x v="0"/>
    <x v="3"/>
  </r>
  <r>
    <x v="280"/>
    <x v="0"/>
    <x v="0"/>
    <x v="280"/>
    <x v="0"/>
    <x v="29"/>
    <x v="1"/>
    <x v="0"/>
    <x v="249"/>
    <x v="28"/>
    <x v="0"/>
    <x v="2"/>
    <x v="29"/>
  </r>
  <r>
    <x v="281"/>
    <x v="0"/>
    <x v="0"/>
    <x v="281"/>
    <x v="0"/>
    <x v="17"/>
    <x v="1"/>
    <x v="0"/>
    <x v="250"/>
    <x v="13"/>
    <x v="0"/>
    <x v="0"/>
    <x v="17"/>
  </r>
  <r>
    <x v="282"/>
    <x v="0"/>
    <x v="0"/>
    <x v="282"/>
    <x v="0"/>
    <x v="36"/>
    <x v="1"/>
    <x v="0"/>
    <x v="251"/>
    <x v="59"/>
    <x v="0"/>
    <x v="0"/>
    <x v="36"/>
  </r>
  <r>
    <x v="283"/>
    <x v="1"/>
    <x v="0"/>
    <x v="283"/>
    <x v="0"/>
    <x v="19"/>
    <x v="1"/>
    <x v="0"/>
    <x v="252"/>
    <x v="4"/>
    <x v="0"/>
    <x v="0"/>
    <x v="19"/>
  </r>
  <r>
    <x v="284"/>
    <x v="0"/>
    <x v="1"/>
    <x v="284"/>
    <x v="0"/>
    <x v="4"/>
    <x v="1"/>
    <x v="0"/>
    <x v="253"/>
    <x v="19"/>
    <x v="51"/>
    <x v="0"/>
    <x v="4"/>
  </r>
  <r>
    <x v="285"/>
    <x v="0"/>
    <x v="0"/>
    <x v="285"/>
    <x v="0"/>
    <x v="40"/>
    <x v="1"/>
    <x v="0"/>
    <x v="254"/>
    <x v="51"/>
    <x v="0"/>
    <x v="1"/>
    <x v="40"/>
  </r>
  <r>
    <x v="286"/>
    <x v="1"/>
    <x v="0"/>
    <x v="286"/>
    <x v="0"/>
    <x v="39"/>
    <x v="1"/>
    <x v="0"/>
    <x v="255"/>
    <x v="59"/>
    <x v="0"/>
    <x v="0"/>
    <x v="39"/>
  </r>
  <r>
    <x v="287"/>
    <x v="0"/>
    <x v="0"/>
    <x v="287"/>
    <x v="0"/>
    <x v="0"/>
    <x v="1"/>
    <x v="0"/>
    <x v="256"/>
    <x v="25"/>
    <x v="0"/>
    <x v="0"/>
    <x v="0"/>
  </r>
  <r>
    <x v="288"/>
    <x v="1"/>
    <x v="2"/>
    <x v="288"/>
    <x v="0"/>
    <x v="22"/>
    <x v="1"/>
    <x v="0"/>
    <x v="257"/>
    <x v="16"/>
    <x v="0"/>
    <x v="0"/>
    <x v="22"/>
  </r>
  <r>
    <x v="289"/>
    <x v="1"/>
    <x v="0"/>
    <x v="289"/>
    <x v="1"/>
    <x v="0"/>
    <x v="1"/>
    <x v="0"/>
    <x v="258"/>
    <x v="28"/>
    <x v="0"/>
    <x v="2"/>
    <x v="0"/>
  </r>
  <r>
    <x v="290"/>
    <x v="1"/>
    <x v="1"/>
    <x v="290"/>
    <x v="1"/>
    <x v="2"/>
    <x v="1"/>
    <x v="0"/>
    <x v="259"/>
    <x v="135"/>
    <x v="0"/>
    <x v="0"/>
    <x v="2"/>
  </r>
  <r>
    <x v="291"/>
    <x v="1"/>
    <x v="1"/>
    <x v="291"/>
    <x v="1"/>
    <x v="19"/>
    <x v="0"/>
    <x v="0"/>
    <x v="260"/>
    <x v="136"/>
    <x v="52"/>
    <x v="1"/>
    <x v="19"/>
  </r>
  <r>
    <x v="292"/>
    <x v="0"/>
    <x v="2"/>
    <x v="292"/>
    <x v="0"/>
    <x v="62"/>
    <x v="1"/>
    <x v="0"/>
    <x v="261"/>
    <x v="137"/>
    <x v="53"/>
    <x v="1"/>
    <x v="62"/>
  </r>
  <r>
    <x v="293"/>
    <x v="0"/>
    <x v="0"/>
    <x v="293"/>
    <x v="1"/>
    <x v="42"/>
    <x v="1"/>
    <x v="0"/>
    <x v="262"/>
    <x v="138"/>
    <x v="0"/>
    <x v="0"/>
    <x v="42"/>
  </r>
  <r>
    <x v="294"/>
    <x v="0"/>
    <x v="0"/>
    <x v="294"/>
    <x v="0"/>
    <x v="42"/>
    <x v="1"/>
    <x v="0"/>
    <x v="263"/>
    <x v="25"/>
    <x v="0"/>
    <x v="0"/>
    <x v="42"/>
  </r>
  <r>
    <x v="295"/>
    <x v="0"/>
    <x v="1"/>
    <x v="295"/>
    <x v="0"/>
    <x v="4"/>
    <x v="1"/>
    <x v="0"/>
    <x v="264"/>
    <x v="26"/>
    <x v="0"/>
    <x v="1"/>
    <x v="4"/>
  </r>
  <r>
    <x v="296"/>
    <x v="0"/>
    <x v="0"/>
    <x v="296"/>
    <x v="0"/>
    <x v="69"/>
    <x v="1"/>
    <x v="0"/>
    <x v="265"/>
    <x v="32"/>
    <x v="0"/>
    <x v="1"/>
    <x v="69"/>
  </r>
  <r>
    <x v="297"/>
    <x v="0"/>
    <x v="1"/>
    <x v="297"/>
    <x v="1"/>
    <x v="6"/>
    <x v="0"/>
    <x v="2"/>
    <x v="266"/>
    <x v="139"/>
    <x v="54"/>
    <x v="0"/>
    <x v="6"/>
  </r>
  <r>
    <x v="298"/>
    <x v="1"/>
    <x v="1"/>
    <x v="298"/>
    <x v="0"/>
    <x v="4"/>
    <x v="1"/>
    <x v="0"/>
    <x v="267"/>
    <x v="140"/>
    <x v="55"/>
    <x v="0"/>
    <x v="4"/>
  </r>
  <r>
    <x v="299"/>
    <x v="1"/>
    <x v="1"/>
    <x v="299"/>
    <x v="1"/>
    <x v="61"/>
    <x v="1"/>
    <x v="1"/>
    <x v="114"/>
    <x v="75"/>
    <x v="22"/>
    <x v="1"/>
    <x v="61"/>
  </r>
  <r>
    <x v="300"/>
    <x v="1"/>
    <x v="0"/>
    <x v="300"/>
    <x v="1"/>
    <x v="4"/>
    <x v="1"/>
    <x v="0"/>
    <x v="268"/>
    <x v="28"/>
    <x v="0"/>
    <x v="2"/>
    <x v="4"/>
  </r>
  <r>
    <x v="301"/>
    <x v="1"/>
    <x v="0"/>
    <x v="301"/>
    <x v="0"/>
    <x v="4"/>
    <x v="4"/>
    <x v="0"/>
    <x v="269"/>
    <x v="141"/>
    <x v="0"/>
    <x v="2"/>
    <x v="4"/>
  </r>
  <r>
    <x v="302"/>
    <x v="0"/>
    <x v="0"/>
    <x v="302"/>
    <x v="0"/>
    <x v="19"/>
    <x v="1"/>
    <x v="0"/>
    <x v="163"/>
    <x v="104"/>
    <x v="0"/>
    <x v="0"/>
    <x v="19"/>
  </r>
  <r>
    <x v="303"/>
    <x v="1"/>
    <x v="2"/>
    <x v="303"/>
    <x v="1"/>
    <x v="4"/>
    <x v="1"/>
    <x v="0"/>
    <x v="270"/>
    <x v="142"/>
    <x v="23"/>
    <x v="2"/>
    <x v="4"/>
  </r>
  <r>
    <x v="304"/>
    <x v="0"/>
    <x v="0"/>
    <x v="304"/>
    <x v="0"/>
    <x v="4"/>
    <x v="1"/>
    <x v="0"/>
    <x v="271"/>
    <x v="4"/>
    <x v="0"/>
    <x v="0"/>
    <x v="4"/>
  </r>
  <r>
    <x v="305"/>
    <x v="1"/>
    <x v="1"/>
    <x v="305"/>
    <x v="0"/>
    <x v="70"/>
    <x v="0"/>
    <x v="2"/>
    <x v="266"/>
    <x v="139"/>
    <x v="54"/>
    <x v="0"/>
    <x v="70"/>
  </r>
  <r>
    <x v="306"/>
    <x v="1"/>
    <x v="1"/>
    <x v="306"/>
    <x v="1"/>
    <x v="4"/>
    <x v="1"/>
    <x v="0"/>
    <x v="272"/>
    <x v="143"/>
    <x v="0"/>
    <x v="1"/>
    <x v="4"/>
  </r>
  <r>
    <x v="307"/>
    <x v="1"/>
    <x v="1"/>
    <x v="307"/>
    <x v="1"/>
    <x v="34"/>
    <x v="0"/>
    <x v="0"/>
    <x v="273"/>
    <x v="144"/>
    <x v="56"/>
    <x v="1"/>
    <x v="34"/>
  </r>
  <r>
    <x v="308"/>
    <x v="0"/>
    <x v="2"/>
    <x v="308"/>
    <x v="0"/>
    <x v="39"/>
    <x v="0"/>
    <x v="0"/>
    <x v="274"/>
    <x v="145"/>
    <x v="0"/>
    <x v="1"/>
    <x v="39"/>
  </r>
  <r>
    <x v="309"/>
    <x v="1"/>
    <x v="1"/>
    <x v="309"/>
    <x v="1"/>
    <x v="39"/>
    <x v="1"/>
    <x v="0"/>
    <x v="275"/>
    <x v="146"/>
    <x v="57"/>
    <x v="1"/>
    <x v="39"/>
  </r>
  <r>
    <x v="310"/>
    <x v="1"/>
    <x v="1"/>
    <x v="310"/>
    <x v="1"/>
    <x v="42"/>
    <x v="1"/>
    <x v="0"/>
    <x v="276"/>
    <x v="147"/>
    <x v="58"/>
    <x v="1"/>
    <x v="42"/>
  </r>
  <r>
    <x v="311"/>
    <x v="1"/>
    <x v="1"/>
    <x v="311"/>
    <x v="1"/>
    <x v="24"/>
    <x v="4"/>
    <x v="2"/>
    <x v="277"/>
    <x v="148"/>
    <x v="59"/>
    <x v="1"/>
    <x v="24"/>
  </r>
  <r>
    <x v="312"/>
    <x v="0"/>
    <x v="2"/>
    <x v="312"/>
    <x v="1"/>
    <x v="2"/>
    <x v="0"/>
    <x v="1"/>
    <x v="278"/>
    <x v="19"/>
    <x v="0"/>
    <x v="0"/>
    <x v="2"/>
  </r>
  <r>
    <x v="313"/>
    <x v="0"/>
    <x v="0"/>
    <x v="313"/>
    <x v="0"/>
    <x v="17"/>
    <x v="1"/>
    <x v="0"/>
    <x v="279"/>
    <x v="25"/>
    <x v="0"/>
    <x v="0"/>
    <x v="17"/>
  </r>
  <r>
    <x v="314"/>
    <x v="0"/>
    <x v="2"/>
    <x v="314"/>
    <x v="0"/>
    <x v="71"/>
    <x v="0"/>
    <x v="1"/>
    <x v="280"/>
    <x v="121"/>
    <x v="0"/>
    <x v="0"/>
    <x v="71"/>
  </r>
  <r>
    <x v="315"/>
    <x v="1"/>
    <x v="0"/>
    <x v="315"/>
    <x v="1"/>
    <x v="2"/>
    <x v="1"/>
    <x v="0"/>
    <x v="281"/>
    <x v="13"/>
    <x v="0"/>
    <x v="0"/>
    <x v="2"/>
  </r>
  <r>
    <x v="316"/>
    <x v="1"/>
    <x v="2"/>
    <x v="316"/>
    <x v="1"/>
    <x v="42"/>
    <x v="0"/>
    <x v="0"/>
    <x v="96"/>
    <x v="19"/>
    <x v="0"/>
    <x v="0"/>
    <x v="42"/>
  </r>
  <r>
    <x v="317"/>
    <x v="0"/>
    <x v="2"/>
    <x v="317"/>
    <x v="0"/>
    <x v="5"/>
    <x v="1"/>
    <x v="0"/>
    <x v="282"/>
    <x v="149"/>
    <x v="0"/>
    <x v="0"/>
    <x v="5"/>
  </r>
  <r>
    <x v="318"/>
    <x v="1"/>
    <x v="1"/>
    <x v="318"/>
    <x v="1"/>
    <x v="14"/>
    <x v="1"/>
    <x v="2"/>
    <x v="283"/>
    <x v="150"/>
    <x v="60"/>
    <x v="0"/>
    <x v="14"/>
  </r>
  <r>
    <x v="319"/>
    <x v="1"/>
    <x v="1"/>
    <x v="319"/>
    <x v="1"/>
    <x v="20"/>
    <x v="0"/>
    <x v="1"/>
    <x v="284"/>
    <x v="151"/>
    <x v="61"/>
    <x v="1"/>
    <x v="20"/>
  </r>
  <r>
    <x v="320"/>
    <x v="0"/>
    <x v="0"/>
    <x v="320"/>
    <x v="0"/>
    <x v="0"/>
    <x v="1"/>
    <x v="0"/>
    <x v="285"/>
    <x v="0"/>
    <x v="0"/>
    <x v="0"/>
    <x v="0"/>
  </r>
  <r>
    <x v="321"/>
    <x v="0"/>
    <x v="0"/>
    <x v="321"/>
    <x v="0"/>
    <x v="7"/>
    <x v="1"/>
    <x v="0"/>
    <x v="286"/>
    <x v="25"/>
    <x v="0"/>
    <x v="0"/>
    <x v="7"/>
  </r>
  <r>
    <x v="322"/>
    <x v="1"/>
    <x v="2"/>
    <x v="322"/>
    <x v="1"/>
    <x v="39"/>
    <x v="1"/>
    <x v="0"/>
    <x v="287"/>
    <x v="142"/>
    <x v="0"/>
    <x v="2"/>
    <x v="39"/>
  </r>
  <r>
    <x v="323"/>
    <x v="1"/>
    <x v="2"/>
    <x v="323"/>
    <x v="1"/>
    <x v="0"/>
    <x v="0"/>
    <x v="1"/>
    <x v="76"/>
    <x v="56"/>
    <x v="0"/>
    <x v="0"/>
    <x v="0"/>
  </r>
  <r>
    <x v="324"/>
    <x v="0"/>
    <x v="0"/>
    <x v="324"/>
    <x v="0"/>
    <x v="4"/>
    <x v="6"/>
    <x v="2"/>
    <x v="148"/>
    <x v="94"/>
    <x v="0"/>
    <x v="0"/>
    <x v="4"/>
  </r>
  <r>
    <x v="325"/>
    <x v="1"/>
    <x v="1"/>
    <x v="325"/>
    <x v="1"/>
    <x v="62"/>
    <x v="1"/>
    <x v="0"/>
    <x v="240"/>
    <x v="130"/>
    <x v="62"/>
    <x v="1"/>
    <x v="62"/>
  </r>
  <r>
    <x v="326"/>
    <x v="0"/>
    <x v="0"/>
    <x v="326"/>
    <x v="0"/>
    <x v="59"/>
    <x v="1"/>
    <x v="0"/>
    <x v="288"/>
    <x v="152"/>
    <x v="0"/>
    <x v="0"/>
    <x v="59"/>
  </r>
  <r>
    <x v="327"/>
    <x v="1"/>
    <x v="2"/>
    <x v="327"/>
    <x v="1"/>
    <x v="62"/>
    <x v="1"/>
    <x v="0"/>
    <x v="289"/>
    <x v="16"/>
    <x v="53"/>
    <x v="0"/>
    <x v="62"/>
  </r>
  <r>
    <x v="328"/>
    <x v="1"/>
    <x v="0"/>
    <x v="328"/>
    <x v="1"/>
    <x v="14"/>
    <x v="0"/>
    <x v="1"/>
    <x v="153"/>
    <x v="97"/>
    <x v="0"/>
    <x v="0"/>
    <x v="14"/>
  </r>
  <r>
    <x v="329"/>
    <x v="1"/>
    <x v="1"/>
    <x v="329"/>
    <x v="1"/>
    <x v="36"/>
    <x v="1"/>
    <x v="1"/>
    <x v="290"/>
    <x v="153"/>
    <x v="63"/>
    <x v="1"/>
    <x v="36"/>
  </r>
  <r>
    <x v="330"/>
    <x v="1"/>
    <x v="0"/>
    <x v="330"/>
    <x v="1"/>
    <x v="4"/>
    <x v="4"/>
    <x v="0"/>
    <x v="269"/>
    <x v="141"/>
    <x v="0"/>
    <x v="2"/>
    <x v="4"/>
  </r>
  <r>
    <x v="331"/>
    <x v="0"/>
    <x v="1"/>
    <x v="331"/>
    <x v="0"/>
    <x v="63"/>
    <x v="1"/>
    <x v="0"/>
    <x v="291"/>
    <x v="154"/>
    <x v="64"/>
    <x v="0"/>
    <x v="63"/>
  </r>
  <r>
    <x v="332"/>
    <x v="0"/>
    <x v="1"/>
    <x v="332"/>
    <x v="0"/>
    <x v="1"/>
    <x v="1"/>
    <x v="1"/>
    <x v="239"/>
    <x v="129"/>
    <x v="65"/>
    <x v="0"/>
    <x v="1"/>
  </r>
  <r>
    <x v="333"/>
    <x v="0"/>
    <x v="0"/>
    <x v="333"/>
    <x v="0"/>
    <x v="36"/>
    <x v="4"/>
    <x v="0"/>
    <x v="37"/>
    <x v="17"/>
    <x v="0"/>
    <x v="0"/>
    <x v="36"/>
  </r>
  <r>
    <x v="334"/>
    <x v="1"/>
    <x v="1"/>
    <x v="334"/>
    <x v="1"/>
    <x v="4"/>
    <x v="0"/>
    <x v="0"/>
    <x v="292"/>
    <x v="155"/>
    <x v="0"/>
    <x v="0"/>
    <x v="4"/>
  </r>
  <r>
    <x v="335"/>
    <x v="0"/>
    <x v="0"/>
    <x v="335"/>
    <x v="0"/>
    <x v="4"/>
    <x v="1"/>
    <x v="0"/>
    <x v="293"/>
    <x v="25"/>
    <x v="0"/>
    <x v="0"/>
    <x v="4"/>
  </r>
  <r>
    <x v="336"/>
    <x v="0"/>
    <x v="1"/>
    <x v="336"/>
    <x v="0"/>
    <x v="28"/>
    <x v="0"/>
    <x v="0"/>
    <x v="140"/>
    <x v="90"/>
    <x v="28"/>
    <x v="0"/>
    <x v="28"/>
  </r>
  <r>
    <x v="337"/>
    <x v="1"/>
    <x v="1"/>
    <x v="337"/>
    <x v="1"/>
    <x v="66"/>
    <x v="1"/>
    <x v="0"/>
    <x v="284"/>
    <x v="151"/>
    <x v="66"/>
    <x v="1"/>
    <x v="66"/>
  </r>
  <r>
    <x v="338"/>
    <x v="1"/>
    <x v="0"/>
    <x v="338"/>
    <x v="0"/>
    <x v="33"/>
    <x v="1"/>
    <x v="0"/>
    <x v="294"/>
    <x v="4"/>
    <x v="0"/>
    <x v="0"/>
    <x v="33"/>
  </r>
  <r>
    <x v="339"/>
    <x v="0"/>
    <x v="1"/>
    <x v="339"/>
    <x v="0"/>
    <x v="33"/>
    <x v="1"/>
    <x v="0"/>
    <x v="295"/>
    <x v="21"/>
    <x v="67"/>
    <x v="0"/>
    <x v="33"/>
  </r>
  <r>
    <x v="340"/>
    <x v="1"/>
    <x v="2"/>
    <x v="340"/>
    <x v="0"/>
    <x v="6"/>
    <x v="0"/>
    <x v="1"/>
    <x v="137"/>
    <x v="19"/>
    <x v="27"/>
    <x v="0"/>
    <x v="6"/>
  </r>
  <r>
    <x v="341"/>
    <x v="1"/>
    <x v="1"/>
    <x v="341"/>
    <x v="1"/>
    <x v="42"/>
    <x v="2"/>
    <x v="2"/>
    <x v="26"/>
    <x v="23"/>
    <x v="8"/>
    <x v="0"/>
    <x v="42"/>
  </r>
  <r>
    <x v="342"/>
    <x v="0"/>
    <x v="2"/>
    <x v="342"/>
    <x v="0"/>
    <x v="17"/>
    <x v="1"/>
    <x v="0"/>
    <x v="296"/>
    <x v="16"/>
    <x v="0"/>
    <x v="0"/>
    <x v="17"/>
  </r>
  <r>
    <x v="343"/>
    <x v="0"/>
    <x v="2"/>
    <x v="343"/>
    <x v="0"/>
    <x v="37"/>
    <x v="1"/>
    <x v="0"/>
    <x v="297"/>
    <x v="16"/>
    <x v="0"/>
    <x v="0"/>
    <x v="37"/>
  </r>
  <r>
    <x v="344"/>
    <x v="0"/>
    <x v="2"/>
    <x v="344"/>
    <x v="0"/>
    <x v="62"/>
    <x v="1"/>
    <x v="0"/>
    <x v="298"/>
    <x v="16"/>
    <x v="0"/>
    <x v="0"/>
    <x v="62"/>
  </r>
  <r>
    <x v="345"/>
    <x v="1"/>
    <x v="2"/>
    <x v="345"/>
    <x v="1"/>
    <x v="42"/>
    <x v="1"/>
    <x v="0"/>
    <x v="299"/>
    <x v="16"/>
    <x v="15"/>
    <x v="0"/>
    <x v="42"/>
  </r>
  <r>
    <x v="346"/>
    <x v="1"/>
    <x v="2"/>
    <x v="346"/>
    <x v="1"/>
    <x v="20"/>
    <x v="1"/>
    <x v="0"/>
    <x v="300"/>
    <x v="16"/>
    <x v="0"/>
    <x v="0"/>
    <x v="20"/>
  </r>
  <r>
    <x v="347"/>
    <x v="1"/>
    <x v="0"/>
    <x v="347"/>
    <x v="1"/>
    <x v="4"/>
    <x v="0"/>
    <x v="0"/>
    <x v="301"/>
    <x v="95"/>
    <x v="0"/>
    <x v="0"/>
    <x v="4"/>
  </r>
  <r>
    <x v="348"/>
    <x v="1"/>
    <x v="0"/>
    <x v="348"/>
    <x v="0"/>
    <x v="25"/>
    <x v="0"/>
    <x v="1"/>
    <x v="302"/>
    <x v="156"/>
    <x v="0"/>
    <x v="0"/>
    <x v="25"/>
  </r>
  <r>
    <x v="349"/>
    <x v="0"/>
    <x v="0"/>
    <x v="349"/>
    <x v="0"/>
    <x v="22"/>
    <x v="1"/>
    <x v="0"/>
    <x v="303"/>
    <x v="51"/>
    <x v="0"/>
    <x v="0"/>
    <x v="22"/>
  </r>
  <r>
    <x v="350"/>
    <x v="0"/>
    <x v="0"/>
    <x v="350"/>
    <x v="0"/>
    <x v="41"/>
    <x v="1"/>
    <x v="0"/>
    <x v="304"/>
    <x v="157"/>
    <x v="0"/>
    <x v="0"/>
    <x v="41"/>
  </r>
  <r>
    <x v="351"/>
    <x v="0"/>
    <x v="1"/>
    <x v="351"/>
    <x v="0"/>
    <x v="4"/>
    <x v="1"/>
    <x v="0"/>
    <x v="305"/>
    <x v="158"/>
    <x v="68"/>
    <x v="0"/>
    <x v="4"/>
  </r>
  <r>
    <x v="352"/>
    <x v="0"/>
    <x v="0"/>
    <x v="352"/>
    <x v="0"/>
    <x v="16"/>
    <x v="0"/>
    <x v="1"/>
    <x v="306"/>
    <x v="32"/>
    <x v="0"/>
    <x v="1"/>
    <x v="16"/>
  </r>
  <r>
    <x v="353"/>
    <x v="0"/>
    <x v="0"/>
    <x v="353"/>
    <x v="0"/>
    <x v="37"/>
    <x v="0"/>
    <x v="0"/>
    <x v="48"/>
    <x v="39"/>
    <x v="0"/>
    <x v="0"/>
    <x v="37"/>
  </r>
  <r>
    <x v="354"/>
    <x v="0"/>
    <x v="0"/>
    <x v="354"/>
    <x v="0"/>
    <x v="4"/>
    <x v="1"/>
    <x v="0"/>
    <x v="307"/>
    <x v="18"/>
    <x v="0"/>
    <x v="1"/>
    <x v="4"/>
  </r>
  <r>
    <x v="355"/>
    <x v="0"/>
    <x v="0"/>
    <x v="355"/>
    <x v="0"/>
    <x v="17"/>
    <x v="1"/>
    <x v="0"/>
    <x v="308"/>
    <x v="59"/>
    <x v="0"/>
    <x v="0"/>
    <x v="17"/>
  </r>
  <r>
    <x v="356"/>
    <x v="1"/>
    <x v="1"/>
    <x v="356"/>
    <x v="1"/>
    <x v="0"/>
    <x v="1"/>
    <x v="1"/>
    <x v="154"/>
    <x v="98"/>
    <x v="29"/>
    <x v="0"/>
    <x v="0"/>
  </r>
  <r>
    <x v="357"/>
    <x v="0"/>
    <x v="2"/>
    <x v="357"/>
    <x v="1"/>
    <x v="1"/>
    <x v="1"/>
    <x v="0"/>
    <x v="309"/>
    <x v="16"/>
    <x v="0"/>
    <x v="0"/>
    <x v="1"/>
  </r>
  <r>
    <x v="358"/>
    <x v="1"/>
    <x v="0"/>
    <x v="358"/>
    <x v="1"/>
    <x v="4"/>
    <x v="1"/>
    <x v="0"/>
    <x v="310"/>
    <x v="24"/>
    <x v="0"/>
    <x v="2"/>
    <x v="4"/>
  </r>
  <r>
    <x v="359"/>
    <x v="1"/>
    <x v="0"/>
    <x v="359"/>
    <x v="1"/>
    <x v="4"/>
    <x v="1"/>
    <x v="0"/>
    <x v="311"/>
    <x v="24"/>
    <x v="0"/>
    <x v="2"/>
    <x v="4"/>
  </r>
  <r>
    <x v="360"/>
    <x v="0"/>
    <x v="0"/>
    <x v="360"/>
    <x v="0"/>
    <x v="20"/>
    <x v="0"/>
    <x v="5"/>
    <x v="62"/>
    <x v="48"/>
    <x v="0"/>
    <x v="0"/>
    <x v="20"/>
  </r>
  <r>
    <x v="361"/>
    <x v="0"/>
    <x v="2"/>
    <x v="361"/>
    <x v="0"/>
    <x v="28"/>
    <x v="0"/>
    <x v="0"/>
    <x v="312"/>
    <x v="26"/>
    <x v="0"/>
    <x v="1"/>
    <x v="28"/>
  </r>
  <r>
    <x v="362"/>
    <x v="0"/>
    <x v="0"/>
    <x v="362"/>
    <x v="1"/>
    <x v="33"/>
    <x v="1"/>
    <x v="1"/>
    <x v="313"/>
    <x v="53"/>
    <x v="0"/>
    <x v="1"/>
    <x v="33"/>
  </r>
  <r>
    <x v="363"/>
    <x v="0"/>
    <x v="0"/>
    <x v="363"/>
    <x v="0"/>
    <x v="3"/>
    <x v="1"/>
    <x v="0"/>
    <x v="314"/>
    <x v="79"/>
    <x v="0"/>
    <x v="0"/>
    <x v="3"/>
  </r>
  <r>
    <x v="364"/>
    <x v="0"/>
    <x v="0"/>
    <x v="364"/>
    <x v="0"/>
    <x v="4"/>
    <x v="0"/>
    <x v="0"/>
    <x v="168"/>
    <x v="37"/>
    <x v="0"/>
    <x v="2"/>
    <x v="4"/>
  </r>
  <r>
    <x v="365"/>
    <x v="0"/>
    <x v="0"/>
    <x v="365"/>
    <x v="0"/>
    <x v="39"/>
    <x v="1"/>
    <x v="0"/>
    <x v="315"/>
    <x v="0"/>
    <x v="0"/>
    <x v="0"/>
    <x v="39"/>
  </r>
  <r>
    <x v="366"/>
    <x v="1"/>
    <x v="1"/>
    <x v="366"/>
    <x v="1"/>
    <x v="72"/>
    <x v="0"/>
    <x v="0"/>
    <x v="316"/>
    <x v="159"/>
    <x v="69"/>
    <x v="1"/>
    <x v="72"/>
  </r>
  <r>
    <x v="367"/>
    <x v="1"/>
    <x v="0"/>
    <x v="367"/>
    <x v="1"/>
    <x v="4"/>
    <x v="1"/>
    <x v="0"/>
    <x v="317"/>
    <x v="32"/>
    <x v="0"/>
    <x v="1"/>
    <x v="4"/>
  </r>
  <r>
    <x v="368"/>
    <x v="1"/>
    <x v="0"/>
    <x v="368"/>
    <x v="1"/>
    <x v="4"/>
    <x v="1"/>
    <x v="0"/>
    <x v="318"/>
    <x v="28"/>
    <x v="0"/>
    <x v="2"/>
    <x v="4"/>
  </r>
  <r>
    <x v="369"/>
    <x v="1"/>
    <x v="1"/>
    <x v="369"/>
    <x v="1"/>
    <x v="42"/>
    <x v="1"/>
    <x v="0"/>
    <x v="319"/>
    <x v="160"/>
    <x v="70"/>
    <x v="1"/>
    <x v="42"/>
  </r>
  <r>
    <x v="370"/>
    <x v="1"/>
    <x v="1"/>
    <x v="370"/>
    <x v="0"/>
    <x v="37"/>
    <x v="0"/>
    <x v="0"/>
    <x v="320"/>
    <x v="161"/>
    <x v="71"/>
    <x v="1"/>
    <x v="37"/>
  </r>
  <r>
    <x v="371"/>
    <x v="0"/>
    <x v="0"/>
    <x v="371"/>
    <x v="0"/>
    <x v="24"/>
    <x v="0"/>
    <x v="0"/>
    <x v="321"/>
    <x v="110"/>
    <x v="0"/>
    <x v="0"/>
    <x v="24"/>
  </r>
  <r>
    <x v="372"/>
    <x v="0"/>
    <x v="0"/>
    <x v="372"/>
    <x v="0"/>
    <x v="19"/>
    <x v="1"/>
    <x v="0"/>
    <x v="322"/>
    <x v="4"/>
    <x v="0"/>
    <x v="0"/>
    <x v="19"/>
  </r>
  <r>
    <x v="373"/>
    <x v="0"/>
    <x v="1"/>
    <x v="373"/>
    <x v="0"/>
    <x v="0"/>
    <x v="1"/>
    <x v="0"/>
    <x v="240"/>
    <x v="130"/>
    <x v="0"/>
    <x v="1"/>
    <x v="0"/>
  </r>
  <r>
    <x v="374"/>
    <x v="0"/>
    <x v="0"/>
    <x v="374"/>
    <x v="1"/>
    <x v="25"/>
    <x v="2"/>
    <x v="1"/>
    <x v="7"/>
    <x v="7"/>
    <x v="0"/>
    <x v="0"/>
    <x v="25"/>
  </r>
  <r>
    <x v="375"/>
    <x v="1"/>
    <x v="1"/>
    <x v="375"/>
    <x v="1"/>
    <x v="4"/>
    <x v="0"/>
    <x v="0"/>
    <x v="33"/>
    <x v="30"/>
    <x v="0"/>
    <x v="1"/>
    <x v="4"/>
  </r>
  <r>
    <x v="376"/>
    <x v="1"/>
    <x v="0"/>
    <x v="376"/>
    <x v="1"/>
    <x v="0"/>
    <x v="1"/>
    <x v="0"/>
    <x v="323"/>
    <x v="0"/>
    <x v="0"/>
    <x v="0"/>
    <x v="0"/>
  </r>
  <r>
    <x v="377"/>
    <x v="0"/>
    <x v="1"/>
    <x v="377"/>
    <x v="0"/>
    <x v="7"/>
    <x v="1"/>
    <x v="2"/>
    <x v="324"/>
    <x v="162"/>
    <x v="72"/>
    <x v="1"/>
    <x v="7"/>
  </r>
  <r>
    <x v="378"/>
    <x v="0"/>
    <x v="0"/>
    <x v="378"/>
    <x v="0"/>
    <x v="11"/>
    <x v="1"/>
    <x v="0"/>
    <x v="325"/>
    <x v="163"/>
    <x v="0"/>
    <x v="1"/>
    <x v="11"/>
  </r>
  <r>
    <x v="379"/>
    <x v="0"/>
    <x v="0"/>
    <x v="379"/>
    <x v="0"/>
    <x v="19"/>
    <x v="1"/>
    <x v="0"/>
    <x v="326"/>
    <x v="71"/>
    <x v="0"/>
    <x v="0"/>
    <x v="19"/>
  </r>
  <r>
    <x v="380"/>
    <x v="1"/>
    <x v="1"/>
    <x v="380"/>
    <x v="1"/>
    <x v="22"/>
    <x v="1"/>
    <x v="0"/>
    <x v="327"/>
    <x v="164"/>
    <x v="0"/>
    <x v="1"/>
    <x v="22"/>
  </r>
  <r>
    <x v="381"/>
    <x v="1"/>
    <x v="0"/>
    <x v="381"/>
    <x v="1"/>
    <x v="58"/>
    <x v="1"/>
    <x v="2"/>
    <x v="328"/>
    <x v="165"/>
    <x v="0"/>
    <x v="1"/>
    <x v="58"/>
  </r>
  <r>
    <x v="382"/>
    <x v="0"/>
    <x v="0"/>
    <x v="382"/>
    <x v="0"/>
    <x v="35"/>
    <x v="1"/>
    <x v="0"/>
    <x v="329"/>
    <x v="2"/>
    <x v="0"/>
    <x v="0"/>
    <x v="35"/>
  </r>
  <r>
    <x v="383"/>
    <x v="1"/>
    <x v="1"/>
    <x v="383"/>
    <x v="1"/>
    <x v="3"/>
    <x v="0"/>
    <x v="0"/>
    <x v="34"/>
    <x v="31"/>
    <x v="0"/>
    <x v="0"/>
    <x v="3"/>
  </r>
  <r>
    <x v="384"/>
    <x v="0"/>
    <x v="0"/>
    <x v="384"/>
    <x v="0"/>
    <x v="4"/>
    <x v="1"/>
    <x v="0"/>
    <x v="330"/>
    <x v="25"/>
    <x v="0"/>
    <x v="0"/>
    <x v="4"/>
  </r>
  <r>
    <x v="385"/>
    <x v="0"/>
    <x v="2"/>
    <x v="385"/>
    <x v="0"/>
    <x v="24"/>
    <x v="1"/>
    <x v="0"/>
    <x v="70"/>
    <x v="52"/>
    <x v="0"/>
    <x v="0"/>
    <x v="24"/>
  </r>
  <r>
    <x v="386"/>
    <x v="0"/>
    <x v="0"/>
    <x v="386"/>
    <x v="0"/>
    <x v="58"/>
    <x v="5"/>
    <x v="2"/>
    <x v="58"/>
    <x v="45"/>
    <x v="0"/>
    <x v="0"/>
    <x v="58"/>
  </r>
  <r>
    <x v="387"/>
    <x v="1"/>
    <x v="2"/>
    <x v="387"/>
    <x v="1"/>
    <x v="62"/>
    <x v="1"/>
    <x v="0"/>
    <x v="331"/>
    <x v="16"/>
    <x v="0"/>
    <x v="0"/>
    <x v="62"/>
  </r>
  <r>
    <x v="388"/>
    <x v="0"/>
    <x v="0"/>
    <x v="388"/>
    <x v="0"/>
    <x v="4"/>
    <x v="1"/>
    <x v="0"/>
    <x v="332"/>
    <x v="166"/>
    <x v="0"/>
    <x v="2"/>
    <x v="4"/>
  </r>
  <r>
    <x v="389"/>
    <x v="1"/>
    <x v="2"/>
    <x v="389"/>
    <x v="1"/>
    <x v="34"/>
    <x v="1"/>
    <x v="0"/>
    <x v="333"/>
    <x v="167"/>
    <x v="0"/>
    <x v="1"/>
    <x v="34"/>
  </r>
  <r>
    <x v="390"/>
    <x v="1"/>
    <x v="1"/>
    <x v="390"/>
    <x v="0"/>
    <x v="62"/>
    <x v="0"/>
    <x v="2"/>
    <x v="334"/>
    <x v="168"/>
    <x v="73"/>
    <x v="0"/>
    <x v="62"/>
  </r>
  <r>
    <x v="391"/>
    <x v="1"/>
    <x v="0"/>
    <x v="391"/>
    <x v="0"/>
    <x v="23"/>
    <x v="1"/>
    <x v="0"/>
    <x v="335"/>
    <x v="88"/>
    <x v="0"/>
    <x v="0"/>
    <x v="23"/>
  </r>
  <r>
    <x v="392"/>
    <x v="0"/>
    <x v="0"/>
    <x v="392"/>
    <x v="0"/>
    <x v="17"/>
    <x v="4"/>
    <x v="0"/>
    <x v="336"/>
    <x v="2"/>
    <x v="0"/>
    <x v="0"/>
    <x v="17"/>
  </r>
  <r>
    <x v="393"/>
    <x v="1"/>
    <x v="1"/>
    <x v="393"/>
    <x v="1"/>
    <x v="41"/>
    <x v="0"/>
    <x v="0"/>
    <x v="193"/>
    <x v="114"/>
    <x v="38"/>
    <x v="1"/>
    <x v="41"/>
  </r>
  <r>
    <x v="394"/>
    <x v="1"/>
    <x v="0"/>
    <x v="394"/>
    <x v="1"/>
    <x v="42"/>
    <x v="1"/>
    <x v="2"/>
    <x v="10"/>
    <x v="10"/>
    <x v="4"/>
    <x v="0"/>
    <x v="42"/>
  </r>
  <r>
    <x v="395"/>
    <x v="0"/>
    <x v="0"/>
    <x v="395"/>
    <x v="0"/>
    <x v="0"/>
    <x v="1"/>
    <x v="0"/>
    <x v="337"/>
    <x v="88"/>
    <x v="0"/>
    <x v="0"/>
    <x v="0"/>
  </r>
  <r>
    <x v="396"/>
    <x v="0"/>
    <x v="0"/>
    <x v="396"/>
    <x v="1"/>
    <x v="14"/>
    <x v="1"/>
    <x v="0"/>
    <x v="338"/>
    <x v="13"/>
    <x v="0"/>
    <x v="0"/>
    <x v="14"/>
  </r>
  <r>
    <x v="397"/>
    <x v="0"/>
    <x v="2"/>
    <x v="397"/>
    <x v="0"/>
    <x v="43"/>
    <x v="1"/>
    <x v="0"/>
    <x v="339"/>
    <x v="19"/>
    <x v="0"/>
    <x v="0"/>
    <x v="43"/>
  </r>
  <r>
    <x v="398"/>
    <x v="0"/>
    <x v="2"/>
    <x v="398"/>
    <x v="0"/>
    <x v="41"/>
    <x v="1"/>
    <x v="0"/>
    <x v="340"/>
    <x v="29"/>
    <x v="0"/>
    <x v="0"/>
    <x v="41"/>
  </r>
  <r>
    <x v="399"/>
    <x v="1"/>
    <x v="2"/>
    <x v="399"/>
    <x v="1"/>
    <x v="17"/>
    <x v="1"/>
    <x v="0"/>
    <x v="341"/>
    <x v="169"/>
    <x v="0"/>
    <x v="0"/>
    <x v="17"/>
  </r>
  <r>
    <x v="400"/>
    <x v="1"/>
    <x v="0"/>
    <x v="400"/>
    <x v="0"/>
    <x v="12"/>
    <x v="1"/>
    <x v="0"/>
    <x v="342"/>
    <x v="2"/>
    <x v="0"/>
    <x v="0"/>
    <x v="12"/>
  </r>
  <r>
    <x v="401"/>
    <x v="0"/>
    <x v="0"/>
    <x v="401"/>
    <x v="0"/>
    <x v="2"/>
    <x v="1"/>
    <x v="0"/>
    <x v="343"/>
    <x v="4"/>
    <x v="0"/>
    <x v="0"/>
    <x v="2"/>
  </r>
  <r>
    <x v="402"/>
    <x v="0"/>
    <x v="0"/>
    <x v="402"/>
    <x v="1"/>
    <x v="23"/>
    <x v="0"/>
    <x v="0"/>
    <x v="344"/>
    <x v="73"/>
    <x v="0"/>
    <x v="0"/>
    <x v="23"/>
  </r>
  <r>
    <x v="403"/>
    <x v="0"/>
    <x v="0"/>
    <x v="403"/>
    <x v="0"/>
    <x v="17"/>
    <x v="0"/>
    <x v="0"/>
    <x v="132"/>
    <x v="62"/>
    <x v="0"/>
    <x v="0"/>
    <x v="17"/>
  </r>
  <r>
    <x v="404"/>
    <x v="0"/>
    <x v="0"/>
    <x v="404"/>
    <x v="1"/>
    <x v="11"/>
    <x v="1"/>
    <x v="0"/>
    <x v="345"/>
    <x v="51"/>
    <x v="0"/>
    <x v="0"/>
    <x v="11"/>
  </r>
  <r>
    <x v="405"/>
    <x v="0"/>
    <x v="2"/>
    <x v="405"/>
    <x v="0"/>
    <x v="15"/>
    <x v="0"/>
    <x v="0"/>
    <x v="346"/>
    <x v="35"/>
    <x v="0"/>
    <x v="0"/>
    <x v="15"/>
  </r>
  <r>
    <x v="406"/>
    <x v="0"/>
    <x v="0"/>
    <x v="406"/>
    <x v="0"/>
    <x v="54"/>
    <x v="1"/>
    <x v="0"/>
    <x v="347"/>
    <x v="28"/>
    <x v="0"/>
    <x v="0"/>
    <x v="54"/>
  </r>
  <r>
    <x v="407"/>
    <x v="1"/>
    <x v="2"/>
    <x v="407"/>
    <x v="0"/>
    <x v="25"/>
    <x v="0"/>
    <x v="1"/>
    <x v="348"/>
    <x v="170"/>
    <x v="0"/>
    <x v="0"/>
    <x v="25"/>
  </r>
  <r>
    <x v="408"/>
    <x v="0"/>
    <x v="0"/>
    <x v="408"/>
    <x v="0"/>
    <x v="23"/>
    <x v="1"/>
    <x v="0"/>
    <x v="349"/>
    <x v="71"/>
    <x v="0"/>
    <x v="0"/>
    <x v="23"/>
  </r>
  <r>
    <x v="409"/>
    <x v="0"/>
    <x v="0"/>
    <x v="409"/>
    <x v="1"/>
    <x v="4"/>
    <x v="2"/>
    <x v="1"/>
    <x v="160"/>
    <x v="102"/>
    <x v="0"/>
    <x v="0"/>
    <x v="4"/>
  </r>
  <r>
    <x v="410"/>
    <x v="0"/>
    <x v="0"/>
    <x v="410"/>
    <x v="0"/>
    <x v="4"/>
    <x v="1"/>
    <x v="0"/>
    <x v="350"/>
    <x v="25"/>
    <x v="0"/>
    <x v="0"/>
    <x v="4"/>
  </r>
  <r>
    <x v="411"/>
    <x v="0"/>
    <x v="0"/>
    <x v="411"/>
    <x v="0"/>
    <x v="4"/>
    <x v="1"/>
    <x v="0"/>
    <x v="351"/>
    <x v="171"/>
    <x v="0"/>
    <x v="2"/>
    <x v="4"/>
  </r>
  <r>
    <x v="412"/>
    <x v="1"/>
    <x v="1"/>
    <x v="412"/>
    <x v="1"/>
    <x v="40"/>
    <x v="0"/>
    <x v="0"/>
    <x v="219"/>
    <x v="117"/>
    <x v="41"/>
    <x v="2"/>
    <x v="40"/>
  </r>
  <r>
    <x v="413"/>
    <x v="0"/>
    <x v="2"/>
    <x v="413"/>
    <x v="0"/>
    <x v="4"/>
    <x v="1"/>
    <x v="0"/>
    <x v="247"/>
    <x v="104"/>
    <x v="0"/>
    <x v="0"/>
    <x v="4"/>
  </r>
  <r>
    <x v="414"/>
    <x v="1"/>
    <x v="0"/>
    <x v="414"/>
    <x v="0"/>
    <x v="57"/>
    <x v="1"/>
    <x v="0"/>
    <x v="352"/>
    <x v="2"/>
    <x v="0"/>
    <x v="0"/>
    <x v="57"/>
  </r>
  <r>
    <x v="415"/>
    <x v="0"/>
    <x v="0"/>
    <x v="415"/>
    <x v="1"/>
    <x v="4"/>
    <x v="1"/>
    <x v="0"/>
    <x v="353"/>
    <x v="4"/>
    <x v="0"/>
    <x v="0"/>
    <x v="4"/>
  </r>
  <r>
    <x v="416"/>
    <x v="1"/>
    <x v="2"/>
    <x v="416"/>
    <x v="1"/>
    <x v="15"/>
    <x v="0"/>
    <x v="1"/>
    <x v="354"/>
    <x v="172"/>
    <x v="0"/>
    <x v="0"/>
    <x v="15"/>
  </r>
  <r>
    <x v="417"/>
    <x v="1"/>
    <x v="2"/>
    <x v="417"/>
    <x v="1"/>
    <x v="24"/>
    <x v="1"/>
    <x v="2"/>
    <x v="355"/>
    <x v="16"/>
    <x v="0"/>
    <x v="0"/>
    <x v="24"/>
  </r>
  <r>
    <x v="418"/>
    <x v="0"/>
    <x v="2"/>
    <x v="418"/>
    <x v="0"/>
    <x v="39"/>
    <x v="1"/>
    <x v="0"/>
    <x v="356"/>
    <x v="16"/>
    <x v="0"/>
    <x v="0"/>
    <x v="39"/>
  </r>
  <r>
    <x v="419"/>
    <x v="0"/>
    <x v="0"/>
    <x v="419"/>
    <x v="1"/>
    <x v="73"/>
    <x v="1"/>
    <x v="2"/>
    <x v="357"/>
    <x v="72"/>
    <x v="0"/>
    <x v="0"/>
    <x v="73"/>
  </r>
  <r>
    <x v="420"/>
    <x v="0"/>
    <x v="0"/>
    <x v="420"/>
    <x v="0"/>
    <x v="4"/>
    <x v="1"/>
    <x v="0"/>
    <x v="358"/>
    <x v="25"/>
    <x v="0"/>
    <x v="1"/>
    <x v="4"/>
  </r>
  <r>
    <x v="421"/>
    <x v="0"/>
    <x v="0"/>
    <x v="421"/>
    <x v="0"/>
    <x v="23"/>
    <x v="1"/>
    <x v="0"/>
    <x v="359"/>
    <x v="93"/>
    <x v="0"/>
    <x v="2"/>
    <x v="23"/>
  </r>
  <r>
    <x v="422"/>
    <x v="0"/>
    <x v="0"/>
    <x v="422"/>
    <x v="0"/>
    <x v="28"/>
    <x v="1"/>
    <x v="0"/>
    <x v="360"/>
    <x v="173"/>
    <x v="0"/>
    <x v="0"/>
    <x v="28"/>
  </r>
  <r>
    <x v="423"/>
    <x v="0"/>
    <x v="0"/>
    <x v="423"/>
    <x v="1"/>
    <x v="17"/>
    <x v="0"/>
    <x v="1"/>
    <x v="361"/>
    <x v="174"/>
    <x v="0"/>
    <x v="0"/>
    <x v="17"/>
  </r>
  <r>
    <x v="424"/>
    <x v="0"/>
    <x v="0"/>
    <x v="424"/>
    <x v="0"/>
    <x v="24"/>
    <x v="0"/>
    <x v="1"/>
    <x v="227"/>
    <x v="125"/>
    <x v="0"/>
    <x v="0"/>
    <x v="24"/>
  </r>
  <r>
    <x v="425"/>
    <x v="0"/>
    <x v="0"/>
    <x v="425"/>
    <x v="0"/>
    <x v="4"/>
    <x v="1"/>
    <x v="0"/>
    <x v="362"/>
    <x v="0"/>
    <x v="0"/>
    <x v="0"/>
    <x v="4"/>
  </r>
  <r>
    <x v="426"/>
    <x v="1"/>
    <x v="2"/>
    <x v="426"/>
    <x v="1"/>
    <x v="17"/>
    <x v="0"/>
    <x v="0"/>
    <x v="363"/>
    <x v="19"/>
    <x v="0"/>
    <x v="0"/>
    <x v="17"/>
  </r>
  <r>
    <x v="427"/>
    <x v="1"/>
    <x v="2"/>
    <x v="427"/>
    <x v="1"/>
    <x v="19"/>
    <x v="1"/>
    <x v="0"/>
    <x v="364"/>
    <x v="19"/>
    <x v="0"/>
    <x v="0"/>
    <x v="19"/>
  </r>
  <r>
    <x v="428"/>
    <x v="0"/>
    <x v="0"/>
    <x v="428"/>
    <x v="0"/>
    <x v="4"/>
    <x v="1"/>
    <x v="0"/>
    <x v="365"/>
    <x v="28"/>
    <x v="0"/>
    <x v="2"/>
    <x v="4"/>
  </r>
  <r>
    <x v="429"/>
    <x v="1"/>
    <x v="0"/>
    <x v="429"/>
    <x v="0"/>
    <x v="35"/>
    <x v="1"/>
    <x v="0"/>
    <x v="366"/>
    <x v="4"/>
    <x v="74"/>
    <x v="0"/>
    <x v="35"/>
  </r>
  <r>
    <x v="430"/>
    <x v="1"/>
    <x v="1"/>
    <x v="430"/>
    <x v="0"/>
    <x v="17"/>
    <x v="1"/>
    <x v="0"/>
    <x v="367"/>
    <x v="11"/>
    <x v="12"/>
    <x v="0"/>
    <x v="17"/>
  </r>
  <r>
    <x v="431"/>
    <x v="1"/>
    <x v="0"/>
    <x v="431"/>
    <x v="1"/>
    <x v="4"/>
    <x v="0"/>
    <x v="0"/>
    <x v="368"/>
    <x v="95"/>
    <x v="0"/>
    <x v="0"/>
    <x v="4"/>
  </r>
  <r>
    <x v="432"/>
    <x v="1"/>
    <x v="2"/>
    <x v="432"/>
    <x v="1"/>
    <x v="22"/>
    <x v="0"/>
    <x v="0"/>
    <x v="369"/>
    <x v="19"/>
    <x v="0"/>
    <x v="0"/>
    <x v="22"/>
  </r>
  <r>
    <x v="433"/>
    <x v="0"/>
    <x v="0"/>
    <x v="433"/>
    <x v="0"/>
    <x v="34"/>
    <x v="1"/>
    <x v="0"/>
    <x v="370"/>
    <x v="123"/>
    <x v="0"/>
    <x v="0"/>
    <x v="34"/>
  </r>
  <r>
    <x v="434"/>
    <x v="0"/>
    <x v="1"/>
    <x v="434"/>
    <x v="0"/>
    <x v="61"/>
    <x v="0"/>
    <x v="0"/>
    <x v="371"/>
    <x v="175"/>
    <x v="75"/>
    <x v="0"/>
    <x v="61"/>
  </r>
  <r>
    <x v="435"/>
    <x v="1"/>
    <x v="1"/>
    <x v="435"/>
    <x v="1"/>
    <x v="8"/>
    <x v="0"/>
    <x v="2"/>
    <x v="334"/>
    <x v="168"/>
    <x v="73"/>
    <x v="0"/>
    <x v="8"/>
  </r>
  <r>
    <x v="436"/>
    <x v="0"/>
    <x v="0"/>
    <x v="436"/>
    <x v="1"/>
    <x v="23"/>
    <x v="4"/>
    <x v="2"/>
    <x v="84"/>
    <x v="63"/>
    <x v="0"/>
    <x v="0"/>
    <x v="23"/>
  </r>
  <r>
    <x v="437"/>
    <x v="1"/>
    <x v="2"/>
    <x v="437"/>
    <x v="1"/>
    <x v="42"/>
    <x v="4"/>
    <x v="4"/>
    <x v="348"/>
    <x v="170"/>
    <x v="0"/>
    <x v="0"/>
    <x v="42"/>
  </r>
  <r>
    <x v="438"/>
    <x v="0"/>
    <x v="1"/>
    <x v="438"/>
    <x v="0"/>
    <x v="74"/>
    <x v="0"/>
    <x v="5"/>
    <x v="26"/>
    <x v="23"/>
    <x v="8"/>
    <x v="0"/>
    <x v="74"/>
  </r>
  <r>
    <x v="439"/>
    <x v="0"/>
    <x v="2"/>
    <x v="439"/>
    <x v="0"/>
    <x v="14"/>
    <x v="1"/>
    <x v="0"/>
    <x v="372"/>
    <x v="29"/>
    <x v="0"/>
    <x v="0"/>
    <x v="14"/>
  </r>
  <r>
    <x v="440"/>
    <x v="1"/>
    <x v="2"/>
    <x v="440"/>
    <x v="1"/>
    <x v="33"/>
    <x v="0"/>
    <x v="1"/>
    <x v="280"/>
    <x v="121"/>
    <x v="0"/>
    <x v="0"/>
    <x v="33"/>
  </r>
  <r>
    <x v="441"/>
    <x v="0"/>
    <x v="0"/>
    <x v="441"/>
    <x v="0"/>
    <x v="11"/>
    <x v="1"/>
    <x v="0"/>
    <x v="373"/>
    <x v="59"/>
    <x v="0"/>
    <x v="0"/>
    <x v="11"/>
  </r>
  <r>
    <x v="442"/>
    <x v="0"/>
    <x v="0"/>
    <x v="442"/>
    <x v="0"/>
    <x v="37"/>
    <x v="0"/>
    <x v="0"/>
    <x v="374"/>
    <x v="71"/>
    <x v="0"/>
    <x v="0"/>
    <x v="37"/>
  </r>
  <r>
    <x v="443"/>
    <x v="1"/>
    <x v="2"/>
    <x v="443"/>
    <x v="1"/>
    <x v="17"/>
    <x v="1"/>
    <x v="0"/>
    <x v="375"/>
    <x v="16"/>
    <x v="0"/>
    <x v="0"/>
    <x v="17"/>
  </r>
  <r>
    <x v="444"/>
    <x v="1"/>
    <x v="0"/>
    <x v="444"/>
    <x v="0"/>
    <x v="4"/>
    <x v="1"/>
    <x v="0"/>
    <x v="376"/>
    <x v="176"/>
    <x v="0"/>
    <x v="0"/>
    <x v="4"/>
  </r>
  <r>
    <x v="445"/>
    <x v="1"/>
    <x v="1"/>
    <x v="445"/>
    <x v="0"/>
    <x v="9"/>
    <x v="1"/>
    <x v="2"/>
    <x v="377"/>
    <x v="177"/>
    <x v="76"/>
    <x v="0"/>
    <x v="9"/>
  </r>
  <r>
    <x v="446"/>
    <x v="1"/>
    <x v="2"/>
    <x v="446"/>
    <x v="1"/>
    <x v="75"/>
    <x v="1"/>
    <x v="1"/>
    <x v="242"/>
    <x v="131"/>
    <x v="0"/>
    <x v="0"/>
    <x v="75"/>
  </r>
  <r>
    <x v="447"/>
    <x v="1"/>
    <x v="1"/>
    <x v="447"/>
    <x v="0"/>
    <x v="15"/>
    <x v="1"/>
    <x v="0"/>
    <x v="378"/>
    <x v="11"/>
    <x v="0"/>
    <x v="0"/>
    <x v="15"/>
  </r>
  <r>
    <x v="448"/>
    <x v="1"/>
    <x v="0"/>
    <x v="448"/>
    <x v="1"/>
    <x v="31"/>
    <x v="4"/>
    <x v="1"/>
    <x v="379"/>
    <x v="178"/>
    <x v="0"/>
    <x v="1"/>
    <x v="31"/>
  </r>
  <r>
    <x v="449"/>
    <x v="1"/>
    <x v="1"/>
    <x v="449"/>
    <x v="0"/>
    <x v="67"/>
    <x v="1"/>
    <x v="0"/>
    <x v="380"/>
    <x v="140"/>
    <x v="77"/>
    <x v="0"/>
    <x v="67"/>
  </r>
  <r>
    <x v="450"/>
    <x v="0"/>
    <x v="2"/>
    <x v="450"/>
    <x v="0"/>
    <x v="62"/>
    <x v="0"/>
    <x v="2"/>
    <x v="57"/>
    <x v="44"/>
    <x v="0"/>
    <x v="0"/>
    <x v="62"/>
  </r>
  <r>
    <x v="451"/>
    <x v="0"/>
    <x v="0"/>
    <x v="451"/>
    <x v="0"/>
    <x v="4"/>
    <x v="0"/>
    <x v="0"/>
    <x v="381"/>
    <x v="179"/>
    <x v="0"/>
    <x v="0"/>
    <x v="4"/>
  </r>
  <r>
    <x v="452"/>
    <x v="0"/>
    <x v="1"/>
    <x v="452"/>
    <x v="0"/>
    <x v="39"/>
    <x v="1"/>
    <x v="0"/>
    <x v="382"/>
    <x v="44"/>
    <x v="78"/>
    <x v="1"/>
    <x v="39"/>
  </r>
  <r>
    <x v="453"/>
    <x v="1"/>
    <x v="1"/>
    <x v="453"/>
    <x v="0"/>
    <x v="27"/>
    <x v="0"/>
    <x v="0"/>
    <x v="383"/>
    <x v="180"/>
    <x v="79"/>
    <x v="1"/>
    <x v="27"/>
  </r>
  <r>
    <x v="454"/>
    <x v="0"/>
    <x v="0"/>
    <x v="454"/>
    <x v="0"/>
    <x v="4"/>
    <x v="1"/>
    <x v="0"/>
    <x v="384"/>
    <x v="4"/>
    <x v="0"/>
    <x v="0"/>
    <x v="4"/>
  </r>
  <r>
    <x v="455"/>
    <x v="1"/>
    <x v="0"/>
    <x v="455"/>
    <x v="0"/>
    <x v="28"/>
    <x v="1"/>
    <x v="0"/>
    <x v="385"/>
    <x v="25"/>
    <x v="0"/>
    <x v="1"/>
    <x v="28"/>
  </r>
  <r>
    <x v="456"/>
    <x v="0"/>
    <x v="1"/>
    <x v="456"/>
    <x v="0"/>
    <x v="29"/>
    <x v="1"/>
    <x v="0"/>
    <x v="386"/>
    <x v="11"/>
    <x v="80"/>
    <x v="0"/>
    <x v="29"/>
  </r>
  <r>
    <x v="457"/>
    <x v="1"/>
    <x v="1"/>
    <x v="457"/>
    <x v="1"/>
    <x v="4"/>
    <x v="0"/>
    <x v="0"/>
    <x v="387"/>
    <x v="6"/>
    <x v="81"/>
    <x v="0"/>
    <x v="4"/>
  </r>
  <r>
    <x v="458"/>
    <x v="1"/>
    <x v="2"/>
    <x v="458"/>
    <x v="1"/>
    <x v="61"/>
    <x v="1"/>
    <x v="0"/>
    <x v="388"/>
    <x v="29"/>
    <x v="0"/>
    <x v="0"/>
    <x v="61"/>
  </r>
  <r>
    <x v="459"/>
    <x v="0"/>
    <x v="0"/>
    <x v="459"/>
    <x v="0"/>
    <x v="4"/>
    <x v="1"/>
    <x v="0"/>
    <x v="389"/>
    <x v="28"/>
    <x v="0"/>
    <x v="2"/>
    <x v="4"/>
  </r>
  <r>
    <x v="460"/>
    <x v="1"/>
    <x v="1"/>
    <x v="460"/>
    <x v="0"/>
    <x v="76"/>
    <x v="1"/>
    <x v="0"/>
    <x v="390"/>
    <x v="11"/>
    <x v="82"/>
    <x v="0"/>
    <x v="76"/>
  </r>
  <r>
    <x v="461"/>
    <x v="0"/>
    <x v="0"/>
    <x v="461"/>
    <x v="0"/>
    <x v="15"/>
    <x v="1"/>
    <x v="0"/>
    <x v="391"/>
    <x v="4"/>
    <x v="0"/>
    <x v="0"/>
    <x v="15"/>
  </r>
  <r>
    <x v="462"/>
    <x v="0"/>
    <x v="1"/>
    <x v="462"/>
    <x v="0"/>
    <x v="47"/>
    <x v="1"/>
    <x v="0"/>
    <x v="392"/>
    <x v="181"/>
    <x v="83"/>
    <x v="0"/>
    <x v="47"/>
  </r>
  <r>
    <x v="463"/>
    <x v="0"/>
    <x v="2"/>
    <x v="463"/>
    <x v="0"/>
    <x v="76"/>
    <x v="1"/>
    <x v="0"/>
    <x v="393"/>
    <x v="16"/>
    <x v="0"/>
    <x v="0"/>
    <x v="76"/>
  </r>
  <r>
    <x v="464"/>
    <x v="0"/>
    <x v="0"/>
    <x v="464"/>
    <x v="0"/>
    <x v="4"/>
    <x v="1"/>
    <x v="0"/>
    <x v="394"/>
    <x v="4"/>
    <x v="0"/>
    <x v="0"/>
    <x v="4"/>
  </r>
  <r>
    <x v="465"/>
    <x v="0"/>
    <x v="0"/>
    <x v="465"/>
    <x v="0"/>
    <x v="1"/>
    <x v="1"/>
    <x v="0"/>
    <x v="395"/>
    <x v="79"/>
    <x v="0"/>
    <x v="0"/>
    <x v="1"/>
  </r>
  <r>
    <x v="466"/>
    <x v="0"/>
    <x v="2"/>
    <x v="466"/>
    <x v="0"/>
    <x v="4"/>
    <x v="1"/>
    <x v="0"/>
    <x v="247"/>
    <x v="104"/>
    <x v="0"/>
    <x v="0"/>
    <x v="4"/>
  </r>
  <r>
    <x v="467"/>
    <x v="0"/>
    <x v="1"/>
    <x v="467"/>
    <x v="0"/>
    <x v="60"/>
    <x v="1"/>
    <x v="0"/>
    <x v="396"/>
    <x v="11"/>
    <x v="0"/>
    <x v="0"/>
    <x v="60"/>
  </r>
  <r>
    <x v="468"/>
    <x v="0"/>
    <x v="0"/>
    <x v="468"/>
    <x v="0"/>
    <x v="4"/>
    <x v="1"/>
    <x v="0"/>
    <x v="397"/>
    <x v="182"/>
    <x v="0"/>
    <x v="2"/>
    <x v="4"/>
  </r>
  <r>
    <x v="469"/>
    <x v="1"/>
    <x v="0"/>
    <x v="469"/>
    <x v="1"/>
    <x v="77"/>
    <x v="4"/>
    <x v="1"/>
    <x v="379"/>
    <x v="178"/>
    <x v="0"/>
    <x v="1"/>
    <x v="77"/>
  </r>
  <r>
    <x v="470"/>
    <x v="0"/>
    <x v="0"/>
    <x v="470"/>
    <x v="0"/>
    <x v="4"/>
    <x v="1"/>
    <x v="0"/>
    <x v="398"/>
    <x v="0"/>
    <x v="0"/>
    <x v="0"/>
    <x v="4"/>
  </r>
  <r>
    <x v="471"/>
    <x v="0"/>
    <x v="0"/>
    <x v="471"/>
    <x v="0"/>
    <x v="1"/>
    <x v="1"/>
    <x v="0"/>
    <x v="399"/>
    <x v="51"/>
    <x v="0"/>
    <x v="0"/>
    <x v="1"/>
  </r>
  <r>
    <x v="472"/>
    <x v="1"/>
    <x v="2"/>
    <x v="472"/>
    <x v="1"/>
    <x v="40"/>
    <x v="0"/>
    <x v="2"/>
    <x v="57"/>
    <x v="44"/>
    <x v="0"/>
    <x v="0"/>
    <x v="40"/>
  </r>
  <r>
    <x v="473"/>
    <x v="1"/>
    <x v="2"/>
    <x v="473"/>
    <x v="1"/>
    <x v="41"/>
    <x v="1"/>
    <x v="0"/>
    <x v="400"/>
    <x v="183"/>
    <x v="53"/>
    <x v="1"/>
    <x v="41"/>
  </r>
  <r>
    <x v="474"/>
    <x v="0"/>
    <x v="0"/>
    <x v="474"/>
    <x v="1"/>
    <x v="0"/>
    <x v="1"/>
    <x v="0"/>
    <x v="401"/>
    <x v="184"/>
    <x v="0"/>
    <x v="0"/>
    <x v="0"/>
  </r>
  <r>
    <x v="475"/>
    <x v="0"/>
    <x v="1"/>
    <x v="475"/>
    <x v="0"/>
    <x v="4"/>
    <x v="1"/>
    <x v="0"/>
    <x v="107"/>
    <x v="31"/>
    <x v="84"/>
    <x v="0"/>
    <x v="4"/>
  </r>
  <r>
    <x v="476"/>
    <x v="0"/>
    <x v="2"/>
    <x v="476"/>
    <x v="0"/>
    <x v="15"/>
    <x v="0"/>
    <x v="0"/>
    <x v="402"/>
    <x v="35"/>
    <x v="0"/>
    <x v="0"/>
    <x v="15"/>
  </r>
  <r>
    <x v="477"/>
    <x v="0"/>
    <x v="0"/>
    <x v="477"/>
    <x v="0"/>
    <x v="28"/>
    <x v="0"/>
    <x v="0"/>
    <x v="403"/>
    <x v="185"/>
    <x v="0"/>
    <x v="0"/>
    <x v="28"/>
  </r>
  <r>
    <x v="478"/>
    <x v="0"/>
    <x v="0"/>
    <x v="478"/>
    <x v="0"/>
    <x v="0"/>
    <x v="1"/>
    <x v="0"/>
    <x v="404"/>
    <x v="186"/>
    <x v="0"/>
    <x v="0"/>
    <x v="0"/>
  </r>
  <r>
    <x v="479"/>
    <x v="1"/>
    <x v="0"/>
    <x v="479"/>
    <x v="1"/>
    <x v="6"/>
    <x v="1"/>
    <x v="1"/>
    <x v="405"/>
    <x v="187"/>
    <x v="0"/>
    <x v="0"/>
    <x v="6"/>
  </r>
  <r>
    <x v="480"/>
    <x v="0"/>
    <x v="0"/>
    <x v="480"/>
    <x v="0"/>
    <x v="52"/>
    <x v="5"/>
    <x v="2"/>
    <x v="58"/>
    <x v="45"/>
    <x v="0"/>
    <x v="0"/>
    <x v="52"/>
  </r>
  <r>
    <x v="481"/>
    <x v="0"/>
    <x v="2"/>
    <x v="481"/>
    <x v="0"/>
    <x v="4"/>
    <x v="1"/>
    <x v="0"/>
    <x v="406"/>
    <x v="104"/>
    <x v="0"/>
    <x v="0"/>
    <x v="4"/>
  </r>
  <r>
    <x v="482"/>
    <x v="0"/>
    <x v="0"/>
    <x v="482"/>
    <x v="0"/>
    <x v="61"/>
    <x v="1"/>
    <x v="0"/>
    <x v="407"/>
    <x v="4"/>
    <x v="0"/>
    <x v="0"/>
    <x v="61"/>
  </r>
  <r>
    <x v="483"/>
    <x v="1"/>
    <x v="0"/>
    <x v="483"/>
    <x v="1"/>
    <x v="68"/>
    <x v="1"/>
    <x v="0"/>
    <x v="408"/>
    <x v="188"/>
    <x v="0"/>
    <x v="0"/>
    <x v="68"/>
  </r>
  <r>
    <x v="484"/>
    <x v="1"/>
    <x v="1"/>
    <x v="484"/>
    <x v="0"/>
    <x v="37"/>
    <x v="0"/>
    <x v="0"/>
    <x v="260"/>
    <x v="136"/>
    <x v="52"/>
    <x v="1"/>
    <x v="37"/>
  </r>
  <r>
    <x v="485"/>
    <x v="0"/>
    <x v="0"/>
    <x v="485"/>
    <x v="1"/>
    <x v="4"/>
    <x v="2"/>
    <x v="1"/>
    <x v="160"/>
    <x v="102"/>
    <x v="0"/>
    <x v="0"/>
    <x v="4"/>
  </r>
  <r>
    <x v="486"/>
    <x v="1"/>
    <x v="1"/>
    <x v="486"/>
    <x v="1"/>
    <x v="3"/>
    <x v="0"/>
    <x v="0"/>
    <x v="202"/>
    <x v="117"/>
    <x v="40"/>
    <x v="0"/>
    <x v="3"/>
  </r>
  <r>
    <x v="487"/>
    <x v="0"/>
    <x v="1"/>
    <x v="487"/>
    <x v="0"/>
    <x v="10"/>
    <x v="1"/>
    <x v="0"/>
    <x v="409"/>
    <x v="132"/>
    <x v="85"/>
    <x v="1"/>
    <x v="10"/>
  </r>
  <r>
    <x v="488"/>
    <x v="0"/>
    <x v="0"/>
    <x v="488"/>
    <x v="0"/>
    <x v="39"/>
    <x v="1"/>
    <x v="0"/>
    <x v="410"/>
    <x v="4"/>
    <x v="0"/>
    <x v="0"/>
    <x v="39"/>
  </r>
  <r>
    <x v="489"/>
    <x v="1"/>
    <x v="0"/>
    <x v="489"/>
    <x v="0"/>
    <x v="52"/>
    <x v="0"/>
    <x v="1"/>
    <x v="302"/>
    <x v="156"/>
    <x v="0"/>
    <x v="0"/>
    <x v="52"/>
  </r>
  <r>
    <x v="490"/>
    <x v="0"/>
    <x v="0"/>
    <x v="490"/>
    <x v="0"/>
    <x v="4"/>
    <x v="0"/>
    <x v="0"/>
    <x v="411"/>
    <x v="179"/>
    <x v="0"/>
    <x v="0"/>
    <x v="4"/>
  </r>
  <r>
    <x v="491"/>
    <x v="0"/>
    <x v="0"/>
    <x v="491"/>
    <x v="0"/>
    <x v="23"/>
    <x v="1"/>
    <x v="0"/>
    <x v="412"/>
    <x v="0"/>
    <x v="0"/>
    <x v="0"/>
    <x v="23"/>
  </r>
  <r>
    <x v="492"/>
    <x v="0"/>
    <x v="1"/>
    <x v="492"/>
    <x v="0"/>
    <x v="13"/>
    <x v="1"/>
    <x v="0"/>
    <x v="413"/>
    <x v="140"/>
    <x v="86"/>
    <x v="0"/>
    <x v="13"/>
  </r>
  <r>
    <x v="493"/>
    <x v="0"/>
    <x v="1"/>
    <x v="493"/>
    <x v="0"/>
    <x v="45"/>
    <x v="1"/>
    <x v="0"/>
    <x v="414"/>
    <x v="189"/>
    <x v="0"/>
    <x v="1"/>
    <x v="45"/>
  </r>
  <r>
    <x v="494"/>
    <x v="0"/>
    <x v="0"/>
    <x v="494"/>
    <x v="0"/>
    <x v="23"/>
    <x v="1"/>
    <x v="0"/>
    <x v="415"/>
    <x v="4"/>
    <x v="0"/>
    <x v="0"/>
    <x v="23"/>
  </r>
  <r>
    <x v="495"/>
    <x v="0"/>
    <x v="0"/>
    <x v="495"/>
    <x v="0"/>
    <x v="4"/>
    <x v="1"/>
    <x v="0"/>
    <x v="111"/>
    <x v="74"/>
    <x v="0"/>
    <x v="1"/>
    <x v="4"/>
  </r>
  <r>
    <x v="496"/>
    <x v="1"/>
    <x v="1"/>
    <x v="496"/>
    <x v="1"/>
    <x v="5"/>
    <x v="0"/>
    <x v="0"/>
    <x v="416"/>
    <x v="190"/>
    <x v="87"/>
    <x v="1"/>
    <x v="5"/>
  </r>
  <r>
    <x v="497"/>
    <x v="0"/>
    <x v="0"/>
    <x v="497"/>
    <x v="0"/>
    <x v="4"/>
    <x v="1"/>
    <x v="0"/>
    <x v="417"/>
    <x v="191"/>
    <x v="0"/>
    <x v="0"/>
    <x v="4"/>
  </r>
  <r>
    <x v="498"/>
    <x v="0"/>
    <x v="1"/>
    <x v="498"/>
    <x v="1"/>
    <x v="37"/>
    <x v="0"/>
    <x v="2"/>
    <x v="266"/>
    <x v="139"/>
    <x v="54"/>
    <x v="0"/>
    <x v="37"/>
  </r>
  <r>
    <x v="499"/>
    <x v="0"/>
    <x v="0"/>
    <x v="499"/>
    <x v="0"/>
    <x v="42"/>
    <x v="1"/>
    <x v="0"/>
    <x v="418"/>
    <x v="88"/>
    <x v="0"/>
    <x v="0"/>
    <x v="42"/>
  </r>
  <r>
    <x v="500"/>
    <x v="0"/>
    <x v="0"/>
    <x v="500"/>
    <x v="0"/>
    <x v="34"/>
    <x v="1"/>
    <x v="0"/>
    <x v="419"/>
    <x v="51"/>
    <x v="0"/>
    <x v="0"/>
    <x v="34"/>
  </r>
  <r>
    <x v="501"/>
    <x v="0"/>
    <x v="0"/>
    <x v="501"/>
    <x v="1"/>
    <x v="23"/>
    <x v="1"/>
    <x v="0"/>
    <x v="420"/>
    <x v="28"/>
    <x v="0"/>
    <x v="2"/>
    <x v="23"/>
  </r>
  <r>
    <x v="502"/>
    <x v="0"/>
    <x v="0"/>
    <x v="502"/>
    <x v="1"/>
    <x v="4"/>
    <x v="1"/>
    <x v="0"/>
    <x v="421"/>
    <x v="192"/>
    <x v="0"/>
    <x v="2"/>
    <x v="4"/>
  </r>
  <r>
    <x v="503"/>
    <x v="0"/>
    <x v="0"/>
    <x v="503"/>
    <x v="1"/>
    <x v="46"/>
    <x v="1"/>
    <x v="0"/>
    <x v="422"/>
    <x v="188"/>
    <x v="0"/>
    <x v="0"/>
    <x v="46"/>
  </r>
  <r>
    <x v="504"/>
    <x v="1"/>
    <x v="1"/>
    <x v="504"/>
    <x v="1"/>
    <x v="36"/>
    <x v="1"/>
    <x v="0"/>
    <x v="230"/>
    <x v="126"/>
    <x v="88"/>
    <x v="0"/>
    <x v="36"/>
  </r>
  <r>
    <x v="505"/>
    <x v="0"/>
    <x v="1"/>
    <x v="505"/>
    <x v="0"/>
    <x v="24"/>
    <x v="0"/>
    <x v="0"/>
    <x v="273"/>
    <x v="144"/>
    <x v="56"/>
    <x v="1"/>
    <x v="24"/>
  </r>
  <r>
    <x v="506"/>
    <x v="1"/>
    <x v="2"/>
    <x v="506"/>
    <x v="1"/>
    <x v="40"/>
    <x v="1"/>
    <x v="2"/>
    <x v="423"/>
    <x v="19"/>
    <x v="0"/>
    <x v="0"/>
    <x v="40"/>
  </r>
  <r>
    <x v="507"/>
    <x v="1"/>
    <x v="1"/>
    <x v="507"/>
    <x v="0"/>
    <x v="4"/>
    <x v="1"/>
    <x v="0"/>
    <x v="424"/>
    <x v="11"/>
    <x v="0"/>
    <x v="0"/>
    <x v="4"/>
  </r>
  <r>
    <x v="508"/>
    <x v="0"/>
    <x v="0"/>
    <x v="508"/>
    <x v="0"/>
    <x v="17"/>
    <x v="1"/>
    <x v="0"/>
    <x v="425"/>
    <x v="193"/>
    <x v="0"/>
    <x v="0"/>
    <x v="17"/>
  </r>
  <r>
    <x v="509"/>
    <x v="1"/>
    <x v="0"/>
    <x v="509"/>
    <x v="0"/>
    <x v="2"/>
    <x v="1"/>
    <x v="0"/>
    <x v="72"/>
    <x v="54"/>
    <x v="0"/>
    <x v="0"/>
    <x v="2"/>
  </r>
  <r>
    <x v="510"/>
    <x v="1"/>
    <x v="0"/>
    <x v="510"/>
    <x v="0"/>
    <x v="28"/>
    <x v="1"/>
    <x v="0"/>
    <x v="426"/>
    <x v="28"/>
    <x v="0"/>
    <x v="2"/>
    <x v="28"/>
  </r>
  <r>
    <x v="511"/>
    <x v="0"/>
    <x v="0"/>
    <x v="511"/>
    <x v="0"/>
    <x v="4"/>
    <x v="1"/>
    <x v="0"/>
    <x v="427"/>
    <x v="4"/>
    <x v="0"/>
    <x v="0"/>
    <x v="4"/>
  </r>
  <r>
    <x v="512"/>
    <x v="1"/>
    <x v="1"/>
    <x v="512"/>
    <x v="0"/>
    <x v="62"/>
    <x v="1"/>
    <x v="0"/>
    <x v="428"/>
    <x v="194"/>
    <x v="89"/>
    <x v="0"/>
    <x v="62"/>
  </r>
  <r>
    <x v="513"/>
    <x v="1"/>
    <x v="1"/>
    <x v="513"/>
    <x v="1"/>
    <x v="5"/>
    <x v="0"/>
    <x v="0"/>
    <x v="429"/>
    <x v="195"/>
    <x v="0"/>
    <x v="1"/>
    <x v="5"/>
  </r>
  <r>
    <x v="514"/>
    <x v="0"/>
    <x v="0"/>
    <x v="514"/>
    <x v="0"/>
    <x v="42"/>
    <x v="1"/>
    <x v="0"/>
    <x v="430"/>
    <x v="196"/>
    <x v="0"/>
    <x v="0"/>
    <x v="42"/>
  </r>
  <r>
    <x v="515"/>
    <x v="0"/>
    <x v="1"/>
    <x v="515"/>
    <x v="0"/>
    <x v="47"/>
    <x v="1"/>
    <x v="0"/>
    <x v="431"/>
    <x v="197"/>
    <x v="90"/>
    <x v="0"/>
    <x v="47"/>
  </r>
  <r>
    <x v="516"/>
    <x v="1"/>
    <x v="2"/>
    <x v="516"/>
    <x v="1"/>
    <x v="15"/>
    <x v="1"/>
    <x v="0"/>
    <x v="432"/>
    <x v="29"/>
    <x v="15"/>
    <x v="0"/>
    <x v="15"/>
  </r>
  <r>
    <x v="517"/>
    <x v="0"/>
    <x v="0"/>
    <x v="517"/>
    <x v="0"/>
    <x v="4"/>
    <x v="1"/>
    <x v="0"/>
    <x v="106"/>
    <x v="72"/>
    <x v="0"/>
    <x v="2"/>
    <x v="4"/>
  </r>
  <r>
    <x v="518"/>
    <x v="1"/>
    <x v="2"/>
    <x v="518"/>
    <x v="1"/>
    <x v="62"/>
    <x v="0"/>
    <x v="0"/>
    <x v="433"/>
    <x v="19"/>
    <x v="0"/>
    <x v="0"/>
    <x v="62"/>
  </r>
  <r>
    <x v="519"/>
    <x v="0"/>
    <x v="0"/>
    <x v="519"/>
    <x v="0"/>
    <x v="35"/>
    <x v="1"/>
    <x v="0"/>
    <x v="434"/>
    <x v="25"/>
    <x v="0"/>
    <x v="0"/>
    <x v="35"/>
  </r>
  <r>
    <x v="520"/>
    <x v="1"/>
    <x v="1"/>
    <x v="520"/>
    <x v="1"/>
    <x v="39"/>
    <x v="1"/>
    <x v="0"/>
    <x v="435"/>
    <x v="198"/>
    <x v="91"/>
    <x v="0"/>
    <x v="39"/>
  </r>
  <r>
    <x v="521"/>
    <x v="0"/>
    <x v="0"/>
    <x v="521"/>
    <x v="0"/>
    <x v="0"/>
    <x v="1"/>
    <x v="0"/>
    <x v="436"/>
    <x v="25"/>
    <x v="0"/>
    <x v="0"/>
    <x v="0"/>
  </r>
  <r>
    <x v="522"/>
    <x v="0"/>
    <x v="0"/>
    <x v="522"/>
    <x v="0"/>
    <x v="4"/>
    <x v="1"/>
    <x v="0"/>
    <x v="437"/>
    <x v="18"/>
    <x v="0"/>
    <x v="1"/>
    <x v="4"/>
  </r>
  <r>
    <x v="523"/>
    <x v="1"/>
    <x v="1"/>
    <x v="523"/>
    <x v="1"/>
    <x v="57"/>
    <x v="1"/>
    <x v="1"/>
    <x v="290"/>
    <x v="153"/>
    <x v="63"/>
    <x v="1"/>
    <x v="57"/>
  </r>
  <r>
    <x v="524"/>
    <x v="0"/>
    <x v="0"/>
    <x v="524"/>
    <x v="0"/>
    <x v="4"/>
    <x v="1"/>
    <x v="0"/>
    <x v="438"/>
    <x v="32"/>
    <x v="0"/>
    <x v="1"/>
    <x v="4"/>
  </r>
  <r>
    <x v="525"/>
    <x v="0"/>
    <x v="0"/>
    <x v="525"/>
    <x v="0"/>
    <x v="56"/>
    <x v="1"/>
    <x v="0"/>
    <x v="439"/>
    <x v="28"/>
    <x v="0"/>
    <x v="2"/>
    <x v="56"/>
  </r>
  <r>
    <x v="526"/>
    <x v="1"/>
    <x v="2"/>
    <x v="526"/>
    <x v="1"/>
    <x v="61"/>
    <x v="1"/>
    <x v="0"/>
    <x v="440"/>
    <x v="29"/>
    <x v="0"/>
    <x v="0"/>
    <x v="61"/>
  </r>
  <r>
    <x v="527"/>
    <x v="0"/>
    <x v="1"/>
    <x v="527"/>
    <x v="0"/>
    <x v="4"/>
    <x v="1"/>
    <x v="0"/>
    <x v="441"/>
    <x v="199"/>
    <x v="92"/>
    <x v="0"/>
    <x v="4"/>
  </r>
  <r>
    <x v="528"/>
    <x v="0"/>
    <x v="0"/>
    <x v="528"/>
    <x v="0"/>
    <x v="12"/>
    <x v="1"/>
    <x v="0"/>
    <x v="442"/>
    <x v="2"/>
    <x v="0"/>
    <x v="0"/>
    <x v="12"/>
  </r>
  <r>
    <x v="529"/>
    <x v="0"/>
    <x v="2"/>
    <x v="529"/>
    <x v="0"/>
    <x v="41"/>
    <x v="4"/>
    <x v="1"/>
    <x v="443"/>
    <x v="86"/>
    <x v="0"/>
    <x v="0"/>
    <x v="41"/>
  </r>
  <r>
    <x v="530"/>
    <x v="1"/>
    <x v="2"/>
    <x v="530"/>
    <x v="1"/>
    <x v="6"/>
    <x v="0"/>
    <x v="1"/>
    <x v="423"/>
    <x v="19"/>
    <x v="0"/>
    <x v="0"/>
    <x v="6"/>
  </r>
  <r>
    <x v="531"/>
    <x v="0"/>
    <x v="0"/>
    <x v="531"/>
    <x v="0"/>
    <x v="4"/>
    <x v="1"/>
    <x v="0"/>
    <x v="444"/>
    <x v="32"/>
    <x v="0"/>
    <x v="1"/>
    <x v="4"/>
  </r>
  <r>
    <x v="532"/>
    <x v="0"/>
    <x v="0"/>
    <x v="532"/>
    <x v="0"/>
    <x v="34"/>
    <x v="0"/>
    <x v="1"/>
    <x v="445"/>
    <x v="32"/>
    <x v="0"/>
    <x v="1"/>
    <x v="34"/>
  </r>
  <r>
    <x v="533"/>
    <x v="1"/>
    <x v="0"/>
    <x v="533"/>
    <x v="1"/>
    <x v="4"/>
    <x v="1"/>
    <x v="2"/>
    <x v="119"/>
    <x v="77"/>
    <x v="0"/>
    <x v="1"/>
    <x v="4"/>
  </r>
  <r>
    <x v="534"/>
    <x v="0"/>
    <x v="0"/>
    <x v="534"/>
    <x v="1"/>
    <x v="39"/>
    <x v="1"/>
    <x v="0"/>
    <x v="446"/>
    <x v="51"/>
    <x v="0"/>
    <x v="0"/>
    <x v="39"/>
  </r>
  <r>
    <x v="535"/>
    <x v="1"/>
    <x v="2"/>
    <x v="535"/>
    <x v="1"/>
    <x v="26"/>
    <x v="1"/>
    <x v="2"/>
    <x v="280"/>
    <x v="121"/>
    <x v="0"/>
    <x v="0"/>
    <x v="26"/>
  </r>
  <r>
    <x v="536"/>
    <x v="0"/>
    <x v="1"/>
    <x v="536"/>
    <x v="0"/>
    <x v="33"/>
    <x v="1"/>
    <x v="0"/>
    <x v="447"/>
    <x v="11"/>
    <x v="93"/>
    <x v="0"/>
    <x v="33"/>
  </r>
  <r>
    <x v="537"/>
    <x v="1"/>
    <x v="1"/>
    <x v="537"/>
    <x v="1"/>
    <x v="39"/>
    <x v="1"/>
    <x v="0"/>
    <x v="448"/>
    <x v="200"/>
    <x v="0"/>
    <x v="1"/>
    <x v="39"/>
  </r>
  <r>
    <x v="538"/>
    <x v="0"/>
    <x v="0"/>
    <x v="538"/>
    <x v="0"/>
    <x v="4"/>
    <x v="1"/>
    <x v="0"/>
    <x v="449"/>
    <x v="80"/>
    <x v="0"/>
    <x v="0"/>
    <x v="4"/>
  </r>
  <r>
    <x v="539"/>
    <x v="1"/>
    <x v="1"/>
    <x v="539"/>
    <x v="1"/>
    <x v="0"/>
    <x v="1"/>
    <x v="2"/>
    <x v="450"/>
    <x v="201"/>
    <x v="94"/>
    <x v="1"/>
    <x v="0"/>
  </r>
  <r>
    <x v="540"/>
    <x v="1"/>
    <x v="1"/>
    <x v="540"/>
    <x v="1"/>
    <x v="62"/>
    <x v="1"/>
    <x v="2"/>
    <x v="451"/>
    <x v="202"/>
    <x v="95"/>
    <x v="0"/>
    <x v="62"/>
  </r>
  <r>
    <x v="541"/>
    <x v="0"/>
    <x v="0"/>
    <x v="541"/>
    <x v="1"/>
    <x v="52"/>
    <x v="3"/>
    <x v="2"/>
    <x v="13"/>
    <x v="12"/>
    <x v="0"/>
    <x v="0"/>
    <x v="52"/>
  </r>
  <r>
    <x v="542"/>
    <x v="0"/>
    <x v="0"/>
    <x v="542"/>
    <x v="1"/>
    <x v="32"/>
    <x v="3"/>
    <x v="2"/>
    <x v="13"/>
    <x v="12"/>
    <x v="0"/>
    <x v="0"/>
    <x v="32"/>
  </r>
  <r>
    <x v="543"/>
    <x v="1"/>
    <x v="2"/>
    <x v="543"/>
    <x v="0"/>
    <x v="35"/>
    <x v="0"/>
    <x v="0"/>
    <x v="452"/>
    <x v="19"/>
    <x v="0"/>
    <x v="0"/>
    <x v="35"/>
  </r>
  <r>
    <x v="544"/>
    <x v="0"/>
    <x v="1"/>
    <x v="544"/>
    <x v="0"/>
    <x v="61"/>
    <x v="0"/>
    <x v="0"/>
    <x v="448"/>
    <x v="200"/>
    <x v="96"/>
    <x v="1"/>
    <x v="61"/>
  </r>
  <r>
    <x v="545"/>
    <x v="0"/>
    <x v="1"/>
    <x v="545"/>
    <x v="0"/>
    <x v="74"/>
    <x v="1"/>
    <x v="0"/>
    <x v="453"/>
    <x v="19"/>
    <x v="0"/>
    <x v="0"/>
    <x v="74"/>
  </r>
  <r>
    <x v="546"/>
    <x v="1"/>
    <x v="2"/>
    <x v="546"/>
    <x v="1"/>
    <x v="19"/>
    <x v="0"/>
    <x v="0"/>
    <x v="452"/>
    <x v="19"/>
    <x v="0"/>
    <x v="0"/>
    <x v="19"/>
  </r>
  <r>
    <x v="547"/>
    <x v="1"/>
    <x v="2"/>
    <x v="547"/>
    <x v="0"/>
    <x v="4"/>
    <x v="1"/>
    <x v="0"/>
    <x v="454"/>
    <x v="203"/>
    <x v="0"/>
    <x v="1"/>
    <x v="4"/>
  </r>
  <r>
    <x v="548"/>
    <x v="0"/>
    <x v="0"/>
    <x v="548"/>
    <x v="0"/>
    <x v="40"/>
    <x v="0"/>
    <x v="1"/>
    <x v="153"/>
    <x v="97"/>
    <x v="0"/>
    <x v="0"/>
    <x v="40"/>
  </r>
  <r>
    <x v="549"/>
    <x v="1"/>
    <x v="2"/>
    <x v="549"/>
    <x v="0"/>
    <x v="18"/>
    <x v="0"/>
    <x v="1"/>
    <x v="135"/>
    <x v="87"/>
    <x v="0"/>
    <x v="0"/>
    <x v="18"/>
  </r>
  <r>
    <x v="550"/>
    <x v="1"/>
    <x v="1"/>
    <x v="550"/>
    <x v="0"/>
    <x v="34"/>
    <x v="1"/>
    <x v="2"/>
    <x v="272"/>
    <x v="143"/>
    <x v="97"/>
    <x v="1"/>
    <x v="34"/>
  </r>
  <r>
    <x v="551"/>
    <x v="0"/>
    <x v="2"/>
    <x v="551"/>
    <x v="0"/>
    <x v="7"/>
    <x v="1"/>
    <x v="0"/>
    <x v="455"/>
    <x v="19"/>
    <x v="0"/>
    <x v="0"/>
    <x v="7"/>
  </r>
  <r>
    <x v="552"/>
    <x v="0"/>
    <x v="0"/>
    <x v="552"/>
    <x v="0"/>
    <x v="4"/>
    <x v="1"/>
    <x v="0"/>
    <x v="456"/>
    <x v="204"/>
    <x v="0"/>
    <x v="2"/>
    <x v="4"/>
  </r>
  <r>
    <x v="553"/>
    <x v="1"/>
    <x v="0"/>
    <x v="553"/>
    <x v="0"/>
    <x v="0"/>
    <x v="1"/>
    <x v="0"/>
    <x v="457"/>
    <x v="18"/>
    <x v="0"/>
    <x v="1"/>
    <x v="0"/>
  </r>
  <r>
    <x v="554"/>
    <x v="1"/>
    <x v="0"/>
    <x v="554"/>
    <x v="1"/>
    <x v="0"/>
    <x v="1"/>
    <x v="0"/>
    <x v="458"/>
    <x v="71"/>
    <x v="0"/>
    <x v="0"/>
    <x v="0"/>
  </r>
  <r>
    <x v="555"/>
    <x v="0"/>
    <x v="1"/>
    <x v="555"/>
    <x v="0"/>
    <x v="65"/>
    <x v="1"/>
    <x v="0"/>
    <x v="459"/>
    <x v="11"/>
    <x v="0"/>
    <x v="0"/>
    <x v="65"/>
  </r>
  <r>
    <x v="556"/>
    <x v="1"/>
    <x v="1"/>
    <x v="556"/>
    <x v="1"/>
    <x v="76"/>
    <x v="0"/>
    <x v="0"/>
    <x v="460"/>
    <x v="205"/>
    <x v="98"/>
    <x v="1"/>
    <x v="76"/>
  </r>
  <r>
    <x v="557"/>
    <x v="0"/>
    <x v="1"/>
    <x v="557"/>
    <x v="0"/>
    <x v="4"/>
    <x v="1"/>
    <x v="0"/>
    <x v="327"/>
    <x v="164"/>
    <x v="0"/>
    <x v="1"/>
    <x v="4"/>
  </r>
  <r>
    <x v="558"/>
    <x v="1"/>
    <x v="1"/>
    <x v="558"/>
    <x v="1"/>
    <x v="12"/>
    <x v="0"/>
    <x v="1"/>
    <x v="234"/>
    <x v="128"/>
    <x v="45"/>
    <x v="0"/>
    <x v="12"/>
  </r>
  <r>
    <x v="559"/>
    <x v="1"/>
    <x v="0"/>
    <x v="559"/>
    <x v="1"/>
    <x v="62"/>
    <x v="0"/>
    <x v="0"/>
    <x v="461"/>
    <x v="206"/>
    <x v="0"/>
    <x v="0"/>
    <x v="62"/>
  </r>
  <r>
    <x v="560"/>
    <x v="0"/>
    <x v="0"/>
    <x v="560"/>
    <x v="0"/>
    <x v="4"/>
    <x v="1"/>
    <x v="0"/>
    <x v="462"/>
    <x v="28"/>
    <x v="0"/>
    <x v="2"/>
    <x v="4"/>
  </r>
  <r>
    <x v="561"/>
    <x v="0"/>
    <x v="0"/>
    <x v="561"/>
    <x v="0"/>
    <x v="20"/>
    <x v="1"/>
    <x v="0"/>
    <x v="463"/>
    <x v="25"/>
    <x v="0"/>
    <x v="0"/>
    <x v="20"/>
  </r>
  <r>
    <x v="562"/>
    <x v="0"/>
    <x v="2"/>
    <x v="562"/>
    <x v="0"/>
    <x v="17"/>
    <x v="1"/>
    <x v="0"/>
    <x v="464"/>
    <x v="119"/>
    <x v="0"/>
    <x v="0"/>
    <x v="17"/>
  </r>
  <r>
    <x v="563"/>
    <x v="0"/>
    <x v="0"/>
    <x v="563"/>
    <x v="0"/>
    <x v="4"/>
    <x v="1"/>
    <x v="0"/>
    <x v="465"/>
    <x v="4"/>
    <x v="0"/>
    <x v="0"/>
    <x v="4"/>
  </r>
  <r>
    <x v="564"/>
    <x v="0"/>
    <x v="0"/>
    <x v="564"/>
    <x v="1"/>
    <x v="4"/>
    <x v="1"/>
    <x v="0"/>
    <x v="466"/>
    <x v="4"/>
    <x v="0"/>
    <x v="0"/>
    <x v="4"/>
  </r>
  <r>
    <x v="565"/>
    <x v="0"/>
    <x v="0"/>
    <x v="565"/>
    <x v="0"/>
    <x v="42"/>
    <x v="4"/>
    <x v="0"/>
    <x v="467"/>
    <x v="72"/>
    <x v="0"/>
    <x v="0"/>
    <x v="42"/>
  </r>
  <r>
    <x v="566"/>
    <x v="0"/>
    <x v="0"/>
    <x v="566"/>
    <x v="0"/>
    <x v="19"/>
    <x v="1"/>
    <x v="0"/>
    <x v="468"/>
    <x v="25"/>
    <x v="0"/>
    <x v="0"/>
    <x v="19"/>
  </r>
  <r>
    <x v="567"/>
    <x v="0"/>
    <x v="0"/>
    <x v="567"/>
    <x v="1"/>
    <x v="28"/>
    <x v="1"/>
    <x v="5"/>
    <x v="7"/>
    <x v="7"/>
    <x v="0"/>
    <x v="0"/>
    <x v="28"/>
  </r>
  <r>
    <x v="568"/>
    <x v="0"/>
    <x v="0"/>
    <x v="568"/>
    <x v="0"/>
    <x v="4"/>
    <x v="1"/>
    <x v="0"/>
    <x v="469"/>
    <x v="32"/>
    <x v="0"/>
    <x v="1"/>
    <x v="4"/>
  </r>
  <r>
    <x v="569"/>
    <x v="1"/>
    <x v="0"/>
    <x v="569"/>
    <x v="0"/>
    <x v="35"/>
    <x v="1"/>
    <x v="0"/>
    <x v="470"/>
    <x v="13"/>
    <x v="0"/>
    <x v="0"/>
    <x v="35"/>
  </r>
  <r>
    <x v="570"/>
    <x v="1"/>
    <x v="2"/>
    <x v="570"/>
    <x v="0"/>
    <x v="65"/>
    <x v="1"/>
    <x v="0"/>
    <x v="471"/>
    <x v="29"/>
    <x v="0"/>
    <x v="0"/>
    <x v="65"/>
  </r>
  <r>
    <x v="571"/>
    <x v="1"/>
    <x v="1"/>
    <x v="571"/>
    <x v="1"/>
    <x v="78"/>
    <x v="4"/>
    <x v="0"/>
    <x v="472"/>
    <x v="207"/>
    <x v="99"/>
    <x v="0"/>
    <x v="78"/>
  </r>
  <r>
    <x v="572"/>
    <x v="1"/>
    <x v="1"/>
    <x v="572"/>
    <x v="0"/>
    <x v="62"/>
    <x v="1"/>
    <x v="0"/>
    <x v="473"/>
    <x v="208"/>
    <x v="89"/>
    <x v="0"/>
    <x v="62"/>
  </r>
  <r>
    <x v="573"/>
    <x v="1"/>
    <x v="0"/>
    <x v="573"/>
    <x v="1"/>
    <x v="4"/>
    <x v="1"/>
    <x v="0"/>
    <x v="474"/>
    <x v="28"/>
    <x v="0"/>
    <x v="2"/>
    <x v="4"/>
  </r>
  <r>
    <x v="574"/>
    <x v="0"/>
    <x v="0"/>
    <x v="574"/>
    <x v="0"/>
    <x v="36"/>
    <x v="1"/>
    <x v="0"/>
    <x v="475"/>
    <x v="4"/>
    <x v="0"/>
    <x v="0"/>
    <x v="36"/>
  </r>
  <r>
    <x v="575"/>
    <x v="0"/>
    <x v="0"/>
    <x v="575"/>
    <x v="0"/>
    <x v="19"/>
    <x v="1"/>
    <x v="0"/>
    <x v="476"/>
    <x v="80"/>
    <x v="0"/>
    <x v="0"/>
    <x v="19"/>
  </r>
  <r>
    <x v="576"/>
    <x v="1"/>
    <x v="2"/>
    <x v="576"/>
    <x v="1"/>
    <x v="15"/>
    <x v="1"/>
    <x v="0"/>
    <x v="477"/>
    <x v="16"/>
    <x v="0"/>
    <x v="0"/>
    <x v="15"/>
  </r>
  <r>
    <x v="577"/>
    <x v="1"/>
    <x v="1"/>
    <x v="577"/>
    <x v="1"/>
    <x v="12"/>
    <x v="0"/>
    <x v="0"/>
    <x v="371"/>
    <x v="175"/>
    <x v="75"/>
    <x v="0"/>
    <x v="12"/>
  </r>
  <r>
    <x v="578"/>
    <x v="0"/>
    <x v="0"/>
    <x v="578"/>
    <x v="1"/>
    <x v="4"/>
    <x v="0"/>
    <x v="0"/>
    <x v="478"/>
    <x v="74"/>
    <x v="0"/>
    <x v="1"/>
    <x v="4"/>
  </r>
  <r>
    <x v="579"/>
    <x v="1"/>
    <x v="0"/>
    <x v="579"/>
    <x v="0"/>
    <x v="35"/>
    <x v="1"/>
    <x v="0"/>
    <x v="479"/>
    <x v="2"/>
    <x v="0"/>
    <x v="0"/>
    <x v="35"/>
  </r>
  <r>
    <x v="580"/>
    <x v="1"/>
    <x v="2"/>
    <x v="580"/>
    <x v="1"/>
    <x v="37"/>
    <x v="0"/>
    <x v="1"/>
    <x v="480"/>
    <x v="209"/>
    <x v="0"/>
    <x v="0"/>
    <x v="37"/>
  </r>
  <r>
    <x v="581"/>
    <x v="1"/>
    <x v="1"/>
    <x v="581"/>
    <x v="1"/>
    <x v="12"/>
    <x v="0"/>
    <x v="1"/>
    <x v="272"/>
    <x v="143"/>
    <x v="100"/>
    <x v="1"/>
    <x v="12"/>
  </r>
  <r>
    <x v="582"/>
    <x v="0"/>
    <x v="2"/>
    <x v="582"/>
    <x v="0"/>
    <x v="5"/>
    <x v="1"/>
    <x v="0"/>
    <x v="339"/>
    <x v="19"/>
    <x v="0"/>
    <x v="0"/>
    <x v="5"/>
  </r>
  <r>
    <x v="583"/>
    <x v="0"/>
    <x v="1"/>
    <x v="583"/>
    <x v="0"/>
    <x v="62"/>
    <x v="1"/>
    <x v="0"/>
    <x v="481"/>
    <x v="210"/>
    <x v="101"/>
    <x v="1"/>
    <x v="62"/>
  </r>
  <r>
    <x v="584"/>
    <x v="0"/>
    <x v="0"/>
    <x v="584"/>
    <x v="0"/>
    <x v="4"/>
    <x v="1"/>
    <x v="0"/>
    <x v="482"/>
    <x v="211"/>
    <x v="0"/>
    <x v="1"/>
    <x v="4"/>
  </r>
  <r>
    <x v="585"/>
    <x v="1"/>
    <x v="1"/>
    <x v="585"/>
    <x v="1"/>
    <x v="24"/>
    <x v="1"/>
    <x v="2"/>
    <x v="234"/>
    <x v="128"/>
    <x v="102"/>
    <x v="0"/>
    <x v="24"/>
  </r>
  <r>
    <x v="586"/>
    <x v="0"/>
    <x v="2"/>
    <x v="586"/>
    <x v="0"/>
    <x v="47"/>
    <x v="1"/>
    <x v="0"/>
    <x v="483"/>
    <x v="212"/>
    <x v="0"/>
    <x v="0"/>
    <x v="47"/>
  </r>
  <r>
    <x v="587"/>
    <x v="1"/>
    <x v="1"/>
    <x v="587"/>
    <x v="0"/>
    <x v="72"/>
    <x v="0"/>
    <x v="1"/>
    <x v="484"/>
    <x v="84"/>
    <x v="103"/>
    <x v="1"/>
    <x v="72"/>
  </r>
  <r>
    <x v="588"/>
    <x v="0"/>
    <x v="0"/>
    <x v="588"/>
    <x v="0"/>
    <x v="0"/>
    <x v="1"/>
    <x v="0"/>
    <x v="485"/>
    <x v="4"/>
    <x v="0"/>
    <x v="0"/>
    <x v="0"/>
  </r>
  <r>
    <x v="589"/>
    <x v="0"/>
    <x v="0"/>
    <x v="589"/>
    <x v="0"/>
    <x v="4"/>
    <x v="1"/>
    <x v="0"/>
    <x v="486"/>
    <x v="4"/>
    <x v="0"/>
    <x v="0"/>
    <x v="4"/>
  </r>
  <r>
    <x v="590"/>
    <x v="0"/>
    <x v="0"/>
    <x v="590"/>
    <x v="0"/>
    <x v="3"/>
    <x v="1"/>
    <x v="0"/>
    <x v="487"/>
    <x v="123"/>
    <x v="0"/>
    <x v="0"/>
    <x v="3"/>
  </r>
  <r>
    <x v="591"/>
    <x v="1"/>
    <x v="1"/>
    <x v="591"/>
    <x v="1"/>
    <x v="67"/>
    <x v="0"/>
    <x v="0"/>
    <x v="416"/>
    <x v="190"/>
    <x v="87"/>
    <x v="1"/>
    <x v="67"/>
  </r>
  <r>
    <x v="592"/>
    <x v="0"/>
    <x v="0"/>
    <x v="592"/>
    <x v="0"/>
    <x v="47"/>
    <x v="1"/>
    <x v="0"/>
    <x v="488"/>
    <x v="0"/>
    <x v="0"/>
    <x v="0"/>
    <x v="47"/>
  </r>
  <r>
    <x v="593"/>
    <x v="0"/>
    <x v="0"/>
    <x v="593"/>
    <x v="1"/>
    <x v="4"/>
    <x v="1"/>
    <x v="2"/>
    <x v="489"/>
    <x v="28"/>
    <x v="0"/>
    <x v="2"/>
    <x v="4"/>
  </r>
  <r>
    <x v="594"/>
    <x v="0"/>
    <x v="2"/>
    <x v="594"/>
    <x v="0"/>
    <x v="46"/>
    <x v="0"/>
    <x v="0"/>
    <x v="490"/>
    <x v="19"/>
    <x v="0"/>
    <x v="0"/>
    <x v="46"/>
  </r>
  <r>
    <x v="595"/>
    <x v="0"/>
    <x v="0"/>
    <x v="595"/>
    <x v="0"/>
    <x v="62"/>
    <x v="0"/>
    <x v="1"/>
    <x v="357"/>
    <x v="72"/>
    <x v="0"/>
    <x v="0"/>
    <x v="62"/>
  </r>
  <r>
    <x v="596"/>
    <x v="1"/>
    <x v="2"/>
    <x v="596"/>
    <x v="1"/>
    <x v="4"/>
    <x v="1"/>
    <x v="0"/>
    <x v="491"/>
    <x v="213"/>
    <x v="0"/>
    <x v="0"/>
    <x v="4"/>
  </r>
  <r>
    <x v="597"/>
    <x v="0"/>
    <x v="0"/>
    <x v="597"/>
    <x v="0"/>
    <x v="27"/>
    <x v="1"/>
    <x v="0"/>
    <x v="163"/>
    <x v="104"/>
    <x v="0"/>
    <x v="0"/>
    <x v="27"/>
  </r>
  <r>
    <x v="598"/>
    <x v="0"/>
    <x v="0"/>
    <x v="598"/>
    <x v="0"/>
    <x v="4"/>
    <x v="1"/>
    <x v="0"/>
    <x v="492"/>
    <x v="18"/>
    <x v="0"/>
    <x v="1"/>
    <x v="4"/>
  </r>
  <r>
    <x v="599"/>
    <x v="1"/>
    <x v="1"/>
    <x v="599"/>
    <x v="0"/>
    <x v="27"/>
    <x v="0"/>
    <x v="0"/>
    <x v="275"/>
    <x v="146"/>
    <x v="104"/>
    <x v="1"/>
    <x v="27"/>
  </r>
  <r>
    <x v="600"/>
    <x v="1"/>
    <x v="2"/>
    <x v="600"/>
    <x v="1"/>
    <x v="42"/>
    <x v="4"/>
    <x v="1"/>
    <x v="195"/>
    <x v="115"/>
    <x v="0"/>
    <x v="0"/>
    <x v="42"/>
  </r>
  <r>
    <x v="601"/>
    <x v="0"/>
    <x v="0"/>
    <x v="601"/>
    <x v="0"/>
    <x v="4"/>
    <x v="1"/>
    <x v="0"/>
    <x v="493"/>
    <x v="25"/>
    <x v="0"/>
    <x v="0"/>
    <x v="4"/>
  </r>
  <r>
    <x v="602"/>
    <x v="0"/>
    <x v="1"/>
    <x v="602"/>
    <x v="0"/>
    <x v="4"/>
    <x v="1"/>
    <x v="0"/>
    <x v="494"/>
    <x v="214"/>
    <x v="0"/>
    <x v="0"/>
    <x v="4"/>
  </r>
  <r>
    <x v="603"/>
    <x v="0"/>
    <x v="0"/>
    <x v="603"/>
    <x v="0"/>
    <x v="57"/>
    <x v="1"/>
    <x v="0"/>
    <x v="495"/>
    <x v="4"/>
    <x v="0"/>
    <x v="0"/>
    <x v="57"/>
  </r>
  <r>
    <x v="604"/>
    <x v="1"/>
    <x v="1"/>
    <x v="604"/>
    <x v="0"/>
    <x v="3"/>
    <x v="1"/>
    <x v="0"/>
    <x v="496"/>
    <x v="11"/>
    <x v="0"/>
    <x v="1"/>
    <x v="3"/>
  </r>
  <r>
    <x v="605"/>
    <x v="0"/>
    <x v="0"/>
    <x v="605"/>
    <x v="0"/>
    <x v="62"/>
    <x v="0"/>
    <x v="0"/>
    <x v="497"/>
    <x v="215"/>
    <x v="0"/>
    <x v="0"/>
    <x v="62"/>
  </r>
  <r>
    <x v="606"/>
    <x v="0"/>
    <x v="0"/>
    <x v="606"/>
    <x v="0"/>
    <x v="39"/>
    <x v="1"/>
    <x v="0"/>
    <x v="498"/>
    <x v="25"/>
    <x v="0"/>
    <x v="0"/>
    <x v="39"/>
  </r>
  <r>
    <x v="607"/>
    <x v="1"/>
    <x v="1"/>
    <x v="607"/>
    <x v="0"/>
    <x v="7"/>
    <x v="1"/>
    <x v="0"/>
    <x v="499"/>
    <x v="140"/>
    <x v="0"/>
    <x v="0"/>
    <x v="7"/>
  </r>
  <r>
    <x v="608"/>
    <x v="1"/>
    <x v="2"/>
    <x v="608"/>
    <x v="1"/>
    <x v="0"/>
    <x v="0"/>
    <x v="2"/>
    <x v="42"/>
    <x v="36"/>
    <x v="0"/>
    <x v="1"/>
    <x v="0"/>
  </r>
  <r>
    <x v="609"/>
    <x v="1"/>
    <x v="1"/>
    <x v="609"/>
    <x v="1"/>
    <x v="20"/>
    <x v="1"/>
    <x v="0"/>
    <x v="239"/>
    <x v="129"/>
    <x v="47"/>
    <x v="0"/>
    <x v="20"/>
  </r>
  <r>
    <x v="610"/>
    <x v="0"/>
    <x v="0"/>
    <x v="610"/>
    <x v="1"/>
    <x v="12"/>
    <x v="0"/>
    <x v="3"/>
    <x v="13"/>
    <x v="12"/>
    <x v="0"/>
    <x v="0"/>
    <x v="12"/>
  </r>
  <r>
    <x v="611"/>
    <x v="0"/>
    <x v="0"/>
    <x v="611"/>
    <x v="0"/>
    <x v="4"/>
    <x v="1"/>
    <x v="0"/>
    <x v="500"/>
    <x v="79"/>
    <x v="0"/>
    <x v="0"/>
    <x v="4"/>
  </r>
  <r>
    <x v="612"/>
    <x v="1"/>
    <x v="0"/>
    <x v="612"/>
    <x v="1"/>
    <x v="4"/>
    <x v="0"/>
    <x v="0"/>
    <x v="215"/>
    <x v="37"/>
    <x v="0"/>
    <x v="2"/>
    <x v="4"/>
  </r>
  <r>
    <x v="613"/>
    <x v="0"/>
    <x v="0"/>
    <x v="613"/>
    <x v="0"/>
    <x v="4"/>
    <x v="1"/>
    <x v="0"/>
    <x v="501"/>
    <x v="28"/>
    <x v="0"/>
    <x v="2"/>
    <x v="4"/>
  </r>
  <r>
    <x v="614"/>
    <x v="0"/>
    <x v="0"/>
    <x v="614"/>
    <x v="0"/>
    <x v="3"/>
    <x v="1"/>
    <x v="0"/>
    <x v="502"/>
    <x v="4"/>
    <x v="0"/>
    <x v="0"/>
    <x v="3"/>
  </r>
  <r>
    <x v="615"/>
    <x v="1"/>
    <x v="2"/>
    <x v="615"/>
    <x v="1"/>
    <x v="42"/>
    <x v="0"/>
    <x v="2"/>
    <x v="503"/>
    <x v="216"/>
    <x v="0"/>
    <x v="0"/>
    <x v="42"/>
  </r>
  <r>
    <x v="616"/>
    <x v="0"/>
    <x v="0"/>
    <x v="616"/>
    <x v="0"/>
    <x v="15"/>
    <x v="0"/>
    <x v="1"/>
    <x v="361"/>
    <x v="174"/>
    <x v="0"/>
    <x v="0"/>
    <x v="15"/>
  </r>
  <r>
    <x v="617"/>
    <x v="0"/>
    <x v="0"/>
    <x v="617"/>
    <x v="1"/>
    <x v="2"/>
    <x v="0"/>
    <x v="0"/>
    <x v="226"/>
    <x v="95"/>
    <x v="0"/>
    <x v="0"/>
    <x v="2"/>
  </r>
  <r>
    <x v="618"/>
    <x v="1"/>
    <x v="2"/>
    <x v="618"/>
    <x v="1"/>
    <x v="9"/>
    <x v="4"/>
    <x v="1"/>
    <x v="165"/>
    <x v="106"/>
    <x v="33"/>
    <x v="0"/>
    <x v="9"/>
  </r>
  <r>
    <x v="619"/>
    <x v="0"/>
    <x v="2"/>
    <x v="619"/>
    <x v="0"/>
    <x v="2"/>
    <x v="1"/>
    <x v="0"/>
    <x v="504"/>
    <x v="29"/>
    <x v="0"/>
    <x v="0"/>
    <x v="2"/>
  </r>
  <r>
    <x v="620"/>
    <x v="0"/>
    <x v="0"/>
    <x v="620"/>
    <x v="0"/>
    <x v="7"/>
    <x v="0"/>
    <x v="0"/>
    <x v="505"/>
    <x v="53"/>
    <x v="0"/>
    <x v="1"/>
    <x v="7"/>
  </r>
  <r>
    <x v="621"/>
    <x v="1"/>
    <x v="1"/>
    <x v="621"/>
    <x v="0"/>
    <x v="22"/>
    <x v="0"/>
    <x v="0"/>
    <x v="506"/>
    <x v="124"/>
    <x v="105"/>
    <x v="0"/>
    <x v="22"/>
  </r>
  <r>
    <x v="622"/>
    <x v="1"/>
    <x v="0"/>
    <x v="622"/>
    <x v="0"/>
    <x v="11"/>
    <x v="0"/>
    <x v="1"/>
    <x v="328"/>
    <x v="165"/>
    <x v="0"/>
    <x v="1"/>
    <x v="11"/>
  </r>
  <r>
    <x v="623"/>
    <x v="0"/>
    <x v="0"/>
    <x v="623"/>
    <x v="0"/>
    <x v="23"/>
    <x v="1"/>
    <x v="0"/>
    <x v="507"/>
    <x v="13"/>
    <x v="0"/>
    <x v="0"/>
    <x v="23"/>
  </r>
  <r>
    <x v="624"/>
    <x v="0"/>
    <x v="0"/>
    <x v="624"/>
    <x v="0"/>
    <x v="23"/>
    <x v="1"/>
    <x v="0"/>
    <x v="508"/>
    <x v="95"/>
    <x v="0"/>
    <x v="0"/>
    <x v="23"/>
  </r>
  <r>
    <x v="625"/>
    <x v="0"/>
    <x v="1"/>
    <x v="625"/>
    <x v="0"/>
    <x v="59"/>
    <x v="1"/>
    <x v="0"/>
    <x v="509"/>
    <x v="217"/>
    <x v="106"/>
    <x v="0"/>
    <x v="59"/>
  </r>
  <r>
    <x v="626"/>
    <x v="0"/>
    <x v="2"/>
    <x v="626"/>
    <x v="0"/>
    <x v="79"/>
    <x v="1"/>
    <x v="0"/>
    <x v="510"/>
    <x v="142"/>
    <x v="0"/>
    <x v="2"/>
    <x v="79"/>
  </r>
  <r>
    <x v="627"/>
    <x v="1"/>
    <x v="1"/>
    <x v="627"/>
    <x v="1"/>
    <x v="23"/>
    <x v="1"/>
    <x v="0"/>
    <x v="245"/>
    <x v="133"/>
    <x v="107"/>
    <x v="0"/>
    <x v="23"/>
  </r>
  <r>
    <x v="628"/>
    <x v="0"/>
    <x v="0"/>
    <x v="628"/>
    <x v="0"/>
    <x v="2"/>
    <x v="1"/>
    <x v="0"/>
    <x v="511"/>
    <x v="25"/>
    <x v="0"/>
    <x v="0"/>
    <x v="2"/>
  </r>
  <r>
    <x v="629"/>
    <x v="0"/>
    <x v="0"/>
    <x v="629"/>
    <x v="0"/>
    <x v="4"/>
    <x v="1"/>
    <x v="0"/>
    <x v="512"/>
    <x v="93"/>
    <x v="0"/>
    <x v="2"/>
    <x v="4"/>
  </r>
  <r>
    <x v="630"/>
    <x v="1"/>
    <x v="1"/>
    <x v="630"/>
    <x v="0"/>
    <x v="80"/>
    <x v="1"/>
    <x v="0"/>
    <x v="513"/>
    <x v="209"/>
    <x v="108"/>
    <x v="0"/>
    <x v="80"/>
  </r>
  <r>
    <x v="631"/>
    <x v="0"/>
    <x v="0"/>
    <x v="631"/>
    <x v="0"/>
    <x v="54"/>
    <x v="1"/>
    <x v="0"/>
    <x v="514"/>
    <x v="218"/>
    <x v="0"/>
    <x v="0"/>
    <x v="54"/>
  </r>
  <r>
    <x v="632"/>
    <x v="1"/>
    <x v="1"/>
    <x v="632"/>
    <x v="0"/>
    <x v="35"/>
    <x v="1"/>
    <x v="0"/>
    <x v="515"/>
    <x v="140"/>
    <x v="109"/>
    <x v="1"/>
    <x v="35"/>
  </r>
  <r>
    <x v="633"/>
    <x v="0"/>
    <x v="1"/>
    <x v="633"/>
    <x v="0"/>
    <x v="4"/>
    <x v="1"/>
    <x v="0"/>
    <x v="516"/>
    <x v="104"/>
    <x v="0"/>
    <x v="0"/>
    <x v="4"/>
  </r>
  <r>
    <x v="634"/>
    <x v="0"/>
    <x v="0"/>
    <x v="634"/>
    <x v="1"/>
    <x v="52"/>
    <x v="2"/>
    <x v="2"/>
    <x v="62"/>
    <x v="48"/>
    <x v="0"/>
    <x v="0"/>
    <x v="52"/>
  </r>
  <r>
    <x v="635"/>
    <x v="1"/>
    <x v="2"/>
    <x v="635"/>
    <x v="1"/>
    <x v="17"/>
    <x v="1"/>
    <x v="0"/>
    <x v="517"/>
    <x v="16"/>
    <x v="0"/>
    <x v="0"/>
    <x v="17"/>
  </r>
  <r>
    <x v="636"/>
    <x v="0"/>
    <x v="0"/>
    <x v="636"/>
    <x v="0"/>
    <x v="35"/>
    <x v="1"/>
    <x v="0"/>
    <x v="518"/>
    <x v="2"/>
    <x v="0"/>
    <x v="0"/>
    <x v="35"/>
  </r>
  <r>
    <x v="637"/>
    <x v="0"/>
    <x v="2"/>
    <x v="637"/>
    <x v="0"/>
    <x v="14"/>
    <x v="0"/>
    <x v="1"/>
    <x v="212"/>
    <x v="121"/>
    <x v="0"/>
    <x v="0"/>
    <x v="14"/>
  </r>
  <r>
    <x v="638"/>
    <x v="0"/>
    <x v="0"/>
    <x v="638"/>
    <x v="1"/>
    <x v="66"/>
    <x v="1"/>
    <x v="3"/>
    <x v="49"/>
    <x v="40"/>
    <x v="0"/>
    <x v="0"/>
    <x v="66"/>
  </r>
  <r>
    <x v="639"/>
    <x v="0"/>
    <x v="0"/>
    <x v="639"/>
    <x v="0"/>
    <x v="4"/>
    <x v="0"/>
    <x v="0"/>
    <x v="368"/>
    <x v="95"/>
    <x v="0"/>
    <x v="0"/>
    <x v="4"/>
  </r>
  <r>
    <x v="640"/>
    <x v="0"/>
    <x v="0"/>
    <x v="640"/>
    <x v="0"/>
    <x v="11"/>
    <x v="1"/>
    <x v="0"/>
    <x v="519"/>
    <x v="13"/>
    <x v="0"/>
    <x v="0"/>
    <x v="11"/>
  </r>
  <r>
    <x v="641"/>
    <x v="1"/>
    <x v="1"/>
    <x v="641"/>
    <x v="1"/>
    <x v="42"/>
    <x v="1"/>
    <x v="0"/>
    <x v="319"/>
    <x v="160"/>
    <x v="70"/>
    <x v="1"/>
    <x v="42"/>
  </r>
  <r>
    <x v="642"/>
    <x v="0"/>
    <x v="0"/>
    <x v="642"/>
    <x v="1"/>
    <x v="6"/>
    <x v="2"/>
    <x v="2"/>
    <x v="62"/>
    <x v="48"/>
    <x v="0"/>
    <x v="0"/>
    <x v="6"/>
  </r>
  <r>
    <x v="643"/>
    <x v="1"/>
    <x v="0"/>
    <x v="643"/>
    <x v="0"/>
    <x v="4"/>
    <x v="1"/>
    <x v="0"/>
    <x v="72"/>
    <x v="54"/>
    <x v="0"/>
    <x v="0"/>
    <x v="4"/>
  </r>
  <r>
    <x v="644"/>
    <x v="1"/>
    <x v="0"/>
    <x v="644"/>
    <x v="1"/>
    <x v="77"/>
    <x v="4"/>
    <x v="1"/>
    <x v="379"/>
    <x v="178"/>
    <x v="0"/>
    <x v="1"/>
    <x v="77"/>
  </r>
  <r>
    <x v="645"/>
    <x v="1"/>
    <x v="1"/>
    <x v="645"/>
    <x v="0"/>
    <x v="76"/>
    <x v="0"/>
    <x v="0"/>
    <x v="51"/>
    <x v="42"/>
    <x v="10"/>
    <x v="1"/>
    <x v="76"/>
  </r>
  <r>
    <x v="646"/>
    <x v="0"/>
    <x v="0"/>
    <x v="646"/>
    <x v="0"/>
    <x v="19"/>
    <x v="1"/>
    <x v="0"/>
    <x v="520"/>
    <x v="25"/>
    <x v="0"/>
    <x v="0"/>
    <x v="19"/>
  </r>
  <r>
    <x v="647"/>
    <x v="1"/>
    <x v="1"/>
    <x v="647"/>
    <x v="0"/>
    <x v="60"/>
    <x v="1"/>
    <x v="0"/>
    <x v="521"/>
    <x v="21"/>
    <x v="110"/>
    <x v="1"/>
    <x v="60"/>
  </r>
  <r>
    <x v="648"/>
    <x v="0"/>
    <x v="0"/>
    <x v="648"/>
    <x v="0"/>
    <x v="4"/>
    <x v="1"/>
    <x v="0"/>
    <x v="522"/>
    <x v="120"/>
    <x v="0"/>
    <x v="0"/>
    <x v="4"/>
  </r>
  <r>
    <x v="649"/>
    <x v="1"/>
    <x v="0"/>
    <x v="649"/>
    <x v="1"/>
    <x v="41"/>
    <x v="1"/>
    <x v="0"/>
    <x v="523"/>
    <x v="120"/>
    <x v="0"/>
    <x v="0"/>
    <x v="41"/>
  </r>
  <r>
    <x v="650"/>
    <x v="0"/>
    <x v="0"/>
    <x v="650"/>
    <x v="0"/>
    <x v="4"/>
    <x v="1"/>
    <x v="0"/>
    <x v="524"/>
    <x v="25"/>
    <x v="0"/>
    <x v="0"/>
    <x v="4"/>
  </r>
  <r>
    <x v="651"/>
    <x v="1"/>
    <x v="2"/>
    <x v="651"/>
    <x v="1"/>
    <x v="24"/>
    <x v="1"/>
    <x v="1"/>
    <x v="95"/>
    <x v="68"/>
    <x v="0"/>
    <x v="0"/>
    <x v="24"/>
  </r>
  <r>
    <x v="652"/>
    <x v="0"/>
    <x v="0"/>
    <x v="652"/>
    <x v="0"/>
    <x v="23"/>
    <x v="1"/>
    <x v="0"/>
    <x v="525"/>
    <x v="219"/>
    <x v="0"/>
    <x v="0"/>
    <x v="23"/>
  </r>
  <r>
    <x v="653"/>
    <x v="1"/>
    <x v="0"/>
    <x v="653"/>
    <x v="1"/>
    <x v="4"/>
    <x v="1"/>
    <x v="0"/>
    <x v="526"/>
    <x v="204"/>
    <x v="0"/>
    <x v="2"/>
    <x v="4"/>
  </r>
  <r>
    <x v="654"/>
    <x v="0"/>
    <x v="0"/>
    <x v="654"/>
    <x v="1"/>
    <x v="24"/>
    <x v="1"/>
    <x v="0"/>
    <x v="527"/>
    <x v="85"/>
    <x v="0"/>
    <x v="2"/>
    <x v="24"/>
  </r>
  <r>
    <x v="655"/>
    <x v="0"/>
    <x v="2"/>
    <x v="655"/>
    <x v="0"/>
    <x v="42"/>
    <x v="4"/>
    <x v="0"/>
    <x v="70"/>
    <x v="52"/>
    <x v="0"/>
    <x v="0"/>
    <x v="42"/>
  </r>
  <r>
    <x v="656"/>
    <x v="0"/>
    <x v="0"/>
    <x v="656"/>
    <x v="0"/>
    <x v="4"/>
    <x v="1"/>
    <x v="0"/>
    <x v="528"/>
    <x v="25"/>
    <x v="0"/>
    <x v="0"/>
    <x v="4"/>
  </r>
  <r>
    <x v="657"/>
    <x v="0"/>
    <x v="0"/>
    <x v="657"/>
    <x v="1"/>
    <x v="35"/>
    <x v="0"/>
    <x v="1"/>
    <x v="170"/>
    <x v="37"/>
    <x v="0"/>
    <x v="2"/>
    <x v="35"/>
  </r>
  <r>
    <x v="658"/>
    <x v="0"/>
    <x v="2"/>
    <x v="658"/>
    <x v="0"/>
    <x v="41"/>
    <x v="1"/>
    <x v="0"/>
    <x v="529"/>
    <x v="16"/>
    <x v="0"/>
    <x v="0"/>
    <x v="41"/>
  </r>
  <r>
    <x v="659"/>
    <x v="0"/>
    <x v="1"/>
    <x v="659"/>
    <x v="0"/>
    <x v="10"/>
    <x v="1"/>
    <x v="2"/>
    <x v="193"/>
    <x v="114"/>
    <x v="111"/>
    <x v="1"/>
    <x v="10"/>
  </r>
  <r>
    <x v="660"/>
    <x v="1"/>
    <x v="1"/>
    <x v="660"/>
    <x v="0"/>
    <x v="61"/>
    <x v="4"/>
    <x v="0"/>
    <x v="292"/>
    <x v="155"/>
    <x v="0"/>
    <x v="0"/>
    <x v="61"/>
  </r>
  <r>
    <x v="661"/>
    <x v="0"/>
    <x v="0"/>
    <x v="661"/>
    <x v="0"/>
    <x v="20"/>
    <x v="1"/>
    <x v="0"/>
    <x v="530"/>
    <x v="18"/>
    <x v="0"/>
    <x v="1"/>
    <x v="20"/>
  </r>
  <r>
    <x v="662"/>
    <x v="0"/>
    <x v="1"/>
    <x v="662"/>
    <x v="0"/>
    <x v="47"/>
    <x v="1"/>
    <x v="0"/>
    <x v="531"/>
    <x v="220"/>
    <x v="112"/>
    <x v="0"/>
    <x v="47"/>
  </r>
  <r>
    <x v="663"/>
    <x v="0"/>
    <x v="0"/>
    <x v="663"/>
    <x v="0"/>
    <x v="62"/>
    <x v="1"/>
    <x v="0"/>
    <x v="532"/>
    <x v="196"/>
    <x v="0"/>
    <x v="0"/>
    <x v="62"/>
  </r>
  <r>
    <x v="664"/>
    <x v="1"/>
    <x v="0"/>
    <x v="664"/>
    <x v="0"/>
    <x v="11"/>
    <x v="0"/>
    <x v="0"/>
    <x v="533"/>
    <x v="2"/>
    <x v="0"/>
    <x v="0"/>
    <x v="11"/>
  </r>
  <r>
    <x v="665"/>
    <x v="0"/>
    <x v="2"/>
    <x v="665"/>
    <x v="0"/>
    <x v="35"/>
    <x v="4"/>
    <x v="0"/>
    <x v="70"/>
    <x v="52"/>
    <x v="0"/>
    <x v="0"/>
    <x v="35"/>
  </r>
  <r>
    <x v="666"/>
    <x v="0"/>
    <x v="2"/>
    <x v="666"/>
    <x v="0"/>
    <x v="37"/>
    <x v="1"/>
    <x v="0"/>
    <x v="534"/>
    <x v="16"/>
    <x v="0"/>
    <x v="0"/>
    <x v="37"/>
  </r>
  <r>
    <x v="667"/>
    <x v="0"/>
    <x v="0"/>
    <x v="667"/>
    <x v="0"/>
    <x v="4"/>
    <x v="1"/>
    <x v="0"/>
    <x v="535"/>
    <x v="71"/>
    <x v="0"/>
    <x v="0"/>
    <x v="4"/>
  </r>
  <r>
    <x v="668"/>
    <x v="0"/>
    <x v="0"/>
    <x v="668"/>
    <x v="0"/>
    <x v="71"/>
    <x v="1"/>
    <x v="0"/>
    <x v="536"/>
    <x v="4"/>
    <x v="0"/>
    <x v="0"/>
    <x v="71"/>
  </r>
  <r>
    <x v="669"/>
    <x v="1"/>
    <x v="1"/>
    <x v="669"/>
    <x v="1"/>
    <x v="4"/>
    <x v="0"/>
    <x v="0"/>
    <x v="537"/>
    <x v="31"/>
    <x v="113"/>
    <x v="0"/>
    <x v="4"/>
  </r>
  <r>
    <x v="670"/>
    <x v="1"/>
    <x v="2"/>
    <x v="670"/>
    <x v="1"/>
    <x v="20"/>
    <x v="0"/>
    <x v="1"/>
    <x v="538"/>
    <x v="106"/>
    <x v="0"/>
    <x v="0"/>
    <x v="20"/>
  </r>
  <r>
    <x v="671"/>
    <x v="0"/>
    <x v="1"/>
    <x v="671"/>
    <x v="0"/>
    <x v="14"/>
    <x v="0"/>
    <x v="0"/>
    <x v="539"/>
    <x v="31"/>
    <x v="114"/>
    <x v="0"/>
    <x v="14"/>
  </r>
  <r>
    <x v="672"/>
    <x v="0"/>
    <x v="2"/>
    <x v="672"/>
    <x v="0"/>
    <x v="81"/>
    <x v="1"/>
    <x v="0"/>
    <x v="540"/>
    <x v="29"/>
    <x v="0"/>
    <x v="0"/>
    <x v="81"/>
  </r>
  <r>
    <x v="673"/>
    <x v="1"/>
    <x v="2"/>
    <x v="673"/>
    <x v="0"/>
    <x v="14"/>
    <x v="1"/>
    <x v="0"/>
    <x v="541"/>
    <x v="16"/>
    <x v="0"/>
    <x v="0"/>
    <x v="14"/>
  </r>
  <r>
    <x v="674"/>
    <x v="0"/>
    <x v="2"/>
    <x v="674"/>
    <x v="0"/>
    <x v="4"/>
    <x v="1"/>
    <x v="0"/>
    <x v="542"/>
    <x v="104"/>
    <x v="0"/>
    <x v="0"/>
    <x v="4"/>
  </r>
  <r>
    <x v="675"/>
    <x v="0"/>
    <x v="0"/>
    <x v="675"/>
    <x v="0"/>
    <x v="24"/>
    <x v="1"/>
    <x v="0"/>
    <x v="543"/>
    <x v="71"/>
    <x v="0"/>
    <x v="0"/>
    <x v="24"/>
  </r>
  <r>
    <x v="676"/>
    <x v="0"/>
    <x v="0"/>
    <x v="676"/>
    <x v="0"/>
    <x v="82"/>
    <x v="1"/>
    <x v="0"/>
    <x v="544"/>
    <x v="4"/>
    <x v="0"/>
    <x v="0"/>
    <x v="82"/>
  </r>
  <r>
    <x v="677"/>
    <x v="1"/>
    <x v="0"/>
    <x v="677"/>
    <x v="1"/>
    <x v="24"/>
    <x v="1"/>
    <x v="0"/>
    <x v="545"/>
    <x v="221"/>
    <x v="0"/>
    <x v="0"/>
    <x v="24"/>
  </r>
  <r>
    <x v="678"/>
    <x v="0"/>
    <x v="0"/>
    <x v="678"/>
    <x v="1"/>
    <x v="71"/>
    <x v="0"/>
    <x v="6"/>
    <x v="58"/>
    <x v="45"/>
    <x v="0"/>
    <x v="0"/>
    <x v="71"/>
  </r>
  <r>
    <x v="679"/>
    <x v="1"/>
    <x v="1"/>
    <x v="679"/>
    <x v="0"/>
    <x v="62"/>
    <x v="1"/>
    <x v="1"/>
    <x v="231"/>
    <x v="127"/>
    <x v="115"/>
    <x v="1"/>
    <x v="62"/>
  </r>
  <r>
    <x v="680"/>
    <x v="0"/>
    <x v="0"/>
    <x v="680"/>
    <x v="1"/>
    <x v="4"/>
    <x v="1"/>
    <x v="0"/>
    <x v="546"/>
    <x v="222"/>
    <x v="0"/>
    <x v="2"/>
    <x v="4"/>
  </r>
  <r>
    <x v="681"/>
    <x v="1"/>
    <x v="1"/>
    <x v="681"/>
    <x v="0"/>
    <x v="7"/>
    <x v="1"/>
    <x v="0"/>
    <x v="51"/>
    <x v="42"/>
    <x v="116"/>
    <x v="1"/>
    <x v="7"/>
  </r>
  <r>
    <x v="682"/>
    <x v="0"/>
    <x v="0"/>
    <x v="682"/>
    <x v="0"/>
    <x v="11"/>
    <x v="1"/>
    <x v="0"/>
    <x v="547"/>
    <x v="157"/>
    <x v="0"/>
    <x v="0"/>
    <x v="11"/>
  </r>
  <r>
    <x v="683"/>
    <x v="0"/>
    <x v="0"/>
    <x v="683"/>
    <x v="0"/>
    <x v="8"/>
    <x v="5"/>
    <x v="2"/>
    <x v="58"/>
    <x v="45"/>
    <x v="0"/>
    <x v="0"/>
    <x v="8"/>
  </r>
  <r>
    <x v="684"/>
    <x v="0"/>
    <x v="2"/>
    <x v="684"/>
    <x v="0"/>
    <x v="72"/>
    <x v="0"/>
    <x v="1"/>
    <x v="538"/>
    <x v="106"/>
    <x v="0"/>
    <x v="0"/>
    <x v="72"/>
  </r>
  <r>
    <x v="685"/>
    <x v="0"/>
    <x v="2"/>
    <x v="685"/>
    <x v="0"/>
    <x v="37"/>
    <x v="0"/>
    <x v="2"/>
    <x v="42"/>
    <x v="36"/>
    <x v="0"/>
    <x v="1"/>
    <x v="37"/>
  </r>
  <r>
    <x v="686"/>
    <x v="0"/>
    <x v="0"/>
    <x v="686"/>
    <x v="0"/>
    <x v="8"/>
    <x v="3"/>
    <x v="1"/>
    <x v="49"/>
    <x v="40"/>
    <x v="0"/>
    <x v="0"/>
    <x v="8"/>
  </r>
  <r>
    <x v="687"/>
    <x v="0"/>
    <x v="0"/>
    <x v="687"/>
    <x v="0"/>
    <x v="19"/>
    <x v="1"/>
    <x v="0"/>
    <x v="548"/>
    <x v="223"/>
    <x v="0"/>
    <x v="0"/>
    <x v="19"/>
  </r>
  <r>
    <x v="688"/>
    <x v="0"/>
    <x v="0"/>
    <x v="688"/>
    <x v="0"/>
    <x v="24"/>
    <x v="1"/>
    <x v="0"/>
    <x v="549"/>
    <x v="88"/>
    <x v="0"/>
    <x v="0"/>
    <x v="24"/>
  </r>
  <r>
    <x v="689"/>
    <x v="1"/>
    <x v="1"/>
    <x v="689"/>
    <x v="1"/>
    <x v="16"/>
    <x v="1"/>
    <x v="1"/>
    <x v="550"/>
    <x v="224"/>
    <x v="117"/>
    <x v="0"/>
    <x v="16"/>
  </r>
  <r>
    <x v="690"/>
    <x v="1"/>
    <x v="1"/>
    <x v="690"/>
    <x v="0"/>
    <x v="14"/>
    <x v="0"/>
    <x v="0"/>
    <x v="551"/>
    <x v="225"/>
    <x v="118"/>
    <x v="0"/>
    <x v="14"/>
  </r>
  <r>
    <x v="691"/>
    <x v="1"/>
    <x v="0"/>
    <x v="691"/>
    <x v="1"/>
    <x v="9"/>
    <x v="1"/>
    <x v="1"/>
    <x v="552"/>
    <x v="226"/>
    <x v="0"/>
    <x v="1"/>
    <x v="9"/>
  </r>
  <r>
    <x v="692"/>
    <x v="1"/>
    <x v="0"/>
    <x v="692"/>
    <x v="0"/>
    <x v="4"/>
    <x v="1"/>
    <x v="0"/>
    <x v="72"/>
    <x v="54"/>
    <x v="0"/>
    <x v="0"/>
    <x v="4"/>
  </r>
  <r>
    <x v="693"/>
    <x v="0"/>
    <x v="0"/>
    <x v="693"/>
    <x v="0"/>
    <x v="37"/>
    <x v="1"/>
    <x v="0"/>
    <x v="553"/>
    <x v="18"/>
    <x v="0"/>
    <x v="1"/>
    <x v="37"/>
  </r>
  <r>
    <x v="694"/>
    <x v="0"/>
    <x v="1"/>
    <x v="694"/>
    <x v="0"/>
    <x v="72"/>
    <x v="1"/>
    <x v="0"/>
    <x v="554"/>
    <x v="11"/>
    <x v="0"/>
    <x v="0"/>
    <x v="72"/>
  </r>
  <r>
    <x v="695"/>
    <x v="0"/>
    <x v="2"/>
    <x v="695"/>
    <x v="0"/>
    <x v="67"/>
    <x v="1"/>
    <x v="0"/>
    <x v="555"/>
    <x v="119"/>
    <x v="0"/>
    <x v="0"/>
    <x v="67"/>
  </r>
  <r>
    <x v="696"/>
    <x v="0"/>
    <x v="0"/>
    <x v="696"/>
    <x v="0"/>
    <x v="57"/>
    <x v="1"/>
    <x v="0"/>
    <x v="556"/>
    <x v="4"/>
    <x v="0"/>
    <x v="0"/>
    <x v="57"/>
  </r>
  <r>
    <x v="697"/>
    <x v="1"/>
    <x v="0"/>
    <x v="697"/>
    <x v="1"/>
    <x v="4"/>
    <x v="1"/>
    <x v="0"/>
    <x v="557"/>
    <x v="93"/>
    <x v="0"/>
    <x v="2"/>
    <x v="4"/>
  </r>
  <r>
    <x v="698"/>
    <x v="0"/>
    <x v="1"/>
    <x v="698"/>
    <x v="0"/>
    <x v="27"/>
    <x v="0"/>
    <x v="1"/>
    <x v="272"/>
    <x v="143"/>
    <x v="100"/>
    <x v="1"/>
    <x v="27"/>
  </r>
  <r>
    <x v="699"/>
    <x v="0"/>
    <x v="0"/>
    <x v="699"/>
    <x v="0"/>
    <x v="22"/>
    <x v="1"/>
    <x v="0"/>
    <x v="558"/>
    <x v="55"/>
    <x v="119"/>
    <x v="0"/>
    <x v="22"/>
  </r>
  <r>
    <x v="700"/>
    <x v="1"/>
    <x v="1"/>
    <x v="700"/>
    <x v="1"/>
    <x v="24"/>
    <x v="0"/>
    <x v="0"/>
    <x v="327"/>
    <x v="164"/>
    <x v="120"/>
    <x v="1"/>
    <x v="24"/>
  </r>
  <r>
    <x v="701"/>
    <x v="1"/>
    <x v="1"/>
    <x v="701"/>
    <x v="0"/>
    <x v="3"/>
    <x v="1"/>
    <x v="0"/>
    <x v="559"/>
    <x v="194"/>
    <x v="121"/>
    <x v="0"/>
    <x v="3"/>
  </r>
  <r>
    <x v="702"/>
    <x v="0"/>
    <x v="0"/>
    <x v="702"/>
    <x v="1"/>
    <x v="24"/>
    <x v="1"/>
    <x v="1"/>
    <x v="313"/>
    <x v="53"/>
    <x v="0"/>
    <x v="1"/>
    <x v="24"/>
  </r>
  <r>
    <x v="703"/>
    <x v="0"/>
    <x v="0"/>
    <x v="703"/>
    <x v="0"/>
    <x v="37"/>
    <x v="1"/>
    <x v="0"/>
    <x v="560"/>
    <x v="227"/>
    <x v="0"/>
    <x v="2"/>
    <x v="37"/>
  </r>
  <r>
    <x v="704"/>
    <x v="0"/>
    <x v="0"/>
    <x v="704"/>
    <x v="0"/>
    <x v="2"/>
    <x v="0"/>
    <x v="0"/>
    <x v="561"/>
    <x v="13"/>
    <x v="0"/>
    <x v="0"/>
    <x v="2"/>
  </r>
  <r>
    <x v="705"/>
    <x v="0"/>
    <x v="2"/>
    <x v="705"/>
    <x v="0"/>
    <x v="12"/>
    <x v="1"/>
    <x v="0"/>
    <x v="364"/>
    <x v="19"/>
    <x v="0"/>
    <x v="0"/>
    <x v="12"/>
  </r>
  <r>
    <x v="706"/>
    <x v="1"/>
    <x v="2"/>
    <x v="706"/>
    <x v="1"/>
    <x v="33"/>
    <x v="1"/>
    <x v="0"/>
    <x v="562"/>
    <x v="119"/>
    <x v="0"/>
    <x v="0"/>
    <x v="33"/>
  </r>
  <r>
    <x v="707"/>
    <x v="1"/>
    <x v="1"/>
    <x v="707"/>
    <x v="0"/>
    <x v="22"/>
    <x v="1"/>
    <x v="0"/>
    <x v="563"/>
    <x v="194"/>
    <x v="121"/>
    <x v="0"/>
    <x v="22"/>
  </r>
  <r>
    <x v="708"/>
    <x v="1"/>
    <x v="1"/>
    <x v="708"/>
    <x v="1"/>
    <x v="0"/>
    <x v="1"/>
    <x v="0"/>
    <x v="266"/>
    <x v="139"/>
    <x v="0"/>
    <x v="0"/>
    <x v="0"/>
  </r>
  <r>
    <x v="709"/>
    <x v="1"/>
    <x v="0"/>
    <x v="709"/>
    <x v="0"/>
    <x v="4"/>
    <x v="0"/>
    <x v="1"/>
    <x v="64"/>
    <x v="49"/>
    <x v="0"/>
    <x v="1"/>
    <x v="4"/>
  </r>
  <r>
    <x v="710"/>
    <x v="1"/>
    <x v="1"/>
    <x v="710"/>
    <x v="1"/>
    <x v="42"/>
    <x v="1"/>
    <x v="0"/>
    <x v="564"/>
    <x v="189"/>
    <x v="122"/>
    <x v="1"/>
    <x v="42"/>
  </r>
  <r>
    <x v="711"/>
    <x v="0"/>
    <x v="1"/>
    <x v="711"/>
    <x v="0"/>
    <x v="4"/>
    <x v="1"/>
    <x v="0"/>
    <x v="565"/>
    <x v="11"/>
    <x v="64"/>
    <x v="0"/>
    <x v="4"/>
  </r>
  <r>
    <x v="712"/>
    <x v="1"/>
    <x v="1"/>
    <x v="712"/>
    <x v="0"/>
    <x v="76"/>
    <x v="0"/>
    <x v="0"/>
    <x v="537"/>
    <x v="31"/>
    <x v="113"/>
    <x v="0"/>
    <x v="76"/>
  </r>
  <r>
    <x v="713"/>
    <x v="0"/>
    <x v="0"/>
    <x v="713"/>
    <x v="0"/>
    <x v="28"/>
    <x v="1"/>
    <x v="0"/>
    <x v="566"/>
    <x v="228"/>
    <x v="0"/>
    <x v="0"/>
    <x v="28"/>
  </r>
  <r>
    <x v="714"/>
    <x v="0"/>
    <x v="2"/>
    <x v="714"/>
    <x v="0"/>
    <x v="67"/>
    <x v="1"/>
    <x v="0"/>
    <x v="567"/>
    <x v="16"/>
    <x v="0"/>
    <x v="0"/>
    <x v="67"/>
  </r>
  <r>
    <x v="715"/>
    <x v="0"/>
    <x v="0"/>
    <x v="715"/>
    <x v="0"/>
    <x v="19"/>
    <x v="1"/>
    <x v="0"/>
    <x v="568"/>
    <x v="55"/>
    <x v="16"/>
    <x v="0"/>
    <x v="19"/>
  </r>
  <r>
    <x v="716"/>
    <x v="1"/>
    <x v="1"/>
    <x v="716"/>
    <x v="1"/>
    <x v="1"/>
    <x v="1"/>
    <x v="0"/>
    <x v="327"/>
    <x v="164"/>
    <x v="123"/>
    <x v="1"/>
    <x v="1"/>
  </r>
  <r>
    <x v="717"/>
    <x v="1"/>
    <x v="2"/>
    <x v="717"/>
    <x v="1"/>
    <x v="7"/>
    <x v="1"/>
    <x v="0"/>
    <x v="569"/>
    <x v="29"/>
    <x v="23"/>
    <x v="0"/>
    <x v="7"/>
  </r>
  <r>
    <x v="718"/>
    <x v="0"/>
    <x v="0"/>
    <x v="718"/>
    <x v="0"/>
    <x v="4"/>
    <x v="1"/>
    <x v="0"/>
    <x v="570"/>
    <x v="37"/>
    <x v="0"/>
    <x v="2"/>
    <x v="4"/>
  </r>
  <r>
    <x v="719"/>
    <x v="0"/>
    <x v="0"/>
    <x v="719"/>
    <x v="0"/>
    <x v="40"/>
    <x v="1"/>
    <x v="0"/>
    <x v="571"/>
    <x v="71"/>
    <x v="0"/>
    <x v="0"/>
    <x v="40"/>
  </r>
  <r>
    <x v="720"/>
    <x v="1"/>
    <x v="2"/>
    <x v="720"/>
    <x v="1"/>
    <x v="83"/>
    <x v="1"/>
    <x v="1"/>
    <x v="491"/>
    <x v="213"/>
    <x v="0"/>
    <x v="0"/>
    <x v="83"/>
  </r>
  <r>
    <x v="721"/>
    <x v="0"/>
    <x v="0"/>
    <x v="721"/>
    <x v="0"/>
    <x v="34"/>
    <x v="0"/>
    <x v="0"/>
    <x v="572"/>
    <x v="218"/>
    <x v="0"/>
    <x v="0"/>
    <x v="34"/>
  </r>
  <r>
    <x v="722"/>
    <x v="0"/>
    <x v="2"/>
    <x v="722"/>
    <x v="0"/>
    <x v="15"/>
    <x v="1"/>
    <x v="0"/>
    <x v="573"/>
    <x v="16"/>
    <x v="0"/>
    <x v="0"/>
    <x v="15"/>
  </r>
  <r>
    <x v="723"/>
    <x v="0"/>
    <x v="2"/>
    <x v="723"/>
    <x v="0"/>
    <x v="61"/>
    <x v="1"/>
    <x v="0"/>
    <x v="574"/>
    <x v="16"/>
    <x v="0"/>
    <x v="0"/>
    <x v="61"/>
  </r>
  <r>
    <x v="724"/>
    <x v="1"/>
    <x v="1"/>
    <x v="724"/>
    <x v="0"/>
    <x v="7"/>
    <x v="0"/>
    <x v="0"/>
    <x v="575"/>
    <x v="3"/>
    <x v="124"/>
    <x v="0"/>
    <x v="7"/>
  </r>
  <r>
    <x v="725"/>
    <x v="0"/>
    <x v="0"/>
    <x v="725"/>
    <x v="0"/>
    <x v="11"/>
    <x v="1"/>
    <x v="0"/>
    <x v="576"/>
    <x v="51"/>
    <x v="0"/>
    <x v="0"/>
    <x v="11"/>
  </r>
  <r>
    <x v="726"/>
    <x v="1"/>
    <x v="2"/>
    <x v="726"/>
    <x v="1"/>
    <x v="39"/>
    <x v="2"/>
    <x v="0"/>
    <x v="402"/>
    <x v="35"/>
    <x v="0"/>
    <x v="0"/>
    <x v="39"/>
  </r>
  <r>
    <x v="727"/>
    <x v="1"/>
    <x v="0"/>
    <x v="727"/>
    <x v="1"/>
    <x v="4"/>
    <x v="1"/>
    <x v="0"/>
    <x v="577"/>
    <x v="229"/>
    <x v="0"/>
    <x v="2"/>
    <x v="4"/>
  </r>
  <r>
    <x v="728"/>
    <x v="0"/>
    <x v="2"/>
    <x v="728"/>
    <x v="0"/>
    <x v="37"/>
    <x v="0"/>
    <x v="0"/>
    <x v="578"/>
    <x v="19"/>
    <x v="0"/>
    <x v="0"/>
    <x v="37"/>
  </r>
  <r>
    <x v="729"/>
    <x v="0"/>
    <x v="0"/>
    <x v="729"/>
    <x v="1"/>
    <x v="37"/>
    <x v="0"/>
    <x v="0"/>
    <x v="579"/>
    <x v="2"/>
    <x v="0"/>
    <x v="0"/>
    <x v="37"/>
  </r>
  <r>
    <x v="730"/>
    <x v="1"/>
    <x v="1"/>
    <x v="730"/>
    <x v="1"/>
    <x v="28"/>
    <x v="1"/>
    <x v="0"/>
    <x v="550"/>
    <x v="224"/>
    <x v="117"/>
    <x v="0"/>
    <x v="28"/>
  </r>
  <r>
    <x v="731"/>
    <x v="0"/>
    <x v="0"/>
    <x v="731"/>
    <x v="0"/>
    <x v="32"/>
    <x v="1"/>
    <x v="0"/>
    <x v="185"/>
    <x v="112"/>
    <x v="0"/>
    <x v="1"/>
    <x v="32"/>
  </r>
  <r>
    <x v="732"/>
    <x v="0"/>
    <x v="2"/>
    <x v="732"/>
    <x v="0"/>
    <x v="4"/>
    <x v="1"/>
    <x v="0"/>
    <x v="580"/>
    <x v="104"/>
    <x v="0"/>
    <x v="0"/>
    <x v="4"/>
  </r>
  <r>
    <x v="733"/>
    <x v="0"/>
    <x v="2"/>
    <x v="733"/>
    <x v="0"/>
    <x v="41"/>
    <x v="1"/>
    <x v="0"/>
    <x v="581"/>
    <x v="16"/>
    <x v="0"/>
    <x v="0"/>
    <x v="41"/>
  </r>
  <r>
    <x v="734"/>
    <x v="0"/>
    <x v="2"/>
    <x v="734"/>
    <x v="0"/>
    <x v="41"/>
    <x v="1"/>
    <x v="0"/>
    <x v="582"/>
    <x v="16"/>
    <x v="0"/>
    <x v="0"/>
    <x v="41"/>
  </r>
  <r>
    <x v="735"/>
    <x v="0"/>
    <x v="0"/>
    <x v="735"/>
    <x v="0"/>
    <x v="30"/>
    <x v="1"/>
    <x v="0"/>
    <x v="508"/>
    <x v="95"/>
    <x v="0"/>
    <x v="0"/>
    <x v="30"/>
  </r>
  <r>
    <x v="736"/>
    <x v="0"/>
    <x v="0"/>
    <x v="736"/>
    <x v="1"/>
    <x v="76"/>
    <x v="0"/>
    <x v="4"/>
    <x v="84"/>
    <x v="63"/>
    <x v="0"/>
    <x v="0"/>
    <x v="76"/>
  </r>
  <r>
    <x v="737"/>
    <x v="1"/>
    <x v="1"/>
    <x v="737"/>
    <x v="0"/>
    <x v="3"/>
    <x v="1"/>
    <x v="0"/>
    <x v="231"/>
    <x v="127"/>
    <x v="125"/>
    <x v="1"/>
    <x v="3"/>
  </r>
  <r>
    <x v="738"/>
    <x v="0"/>
    <x v="0"/>
    <x v="738"/>
    <x v="0"/>
    <x v="4"/>
    <x v="1"/>
    <x v="0"/>
    <x v="583"/>
    <x v="25"/>
    <x v="0"/>
    <x v="0"/>
    <x v="4"/>
  </r>
  <r>
    <x v="739"/>
    <x v="0"/>
    <x v="0"/>
    <x v="739"/>
    <x v="0"/>
    <x v="4"/>
    <x v="1"/>
    <x v="0"/>
    <x v="584"/>
    <x v="25"/>
    <x v="0"/>
    <x v="0"/>
    <x v="4"/>
  </r>
  <r>
    <x v="740"/>
    <x v="1"/>
    <x v="1"/>
    <x v="740"/>
    <x v="0"/>
    <x v="4"/>
    <x v="1"/>
    <x v="0"/>
    <x v="585"/>
    <x v="209"/>
    <x v="126"/>
    <x v="0"/>
    <x v="4"/>
  </r>
  <r>
    <x v="741"/>
    <x v="0"/>
    <x v="1"/>
    <x v="741"/>
    <x v="0"/>
    <x v="62"/>
    <x v="0"/>
    <x v="0"/>
    <x v="259"/>
    <x v="135"/>
    <x v="127"/>
    <x v="0"/>
    <x v="62"/>
  </r>
  <r>
    <x v="742"/>
    <x v="1"/>
    <x v="1"/>
    <x v="742"/>
    <x v="1"/>
    <x v="23"/>
    <x v="4"/>
    <x v="2"/>
    <x v="277"/>
    <x v="148"/>
    <x v="59"/>
    <x v="1"/>
    <x v="23"/>
  </r>
  <r>
    <x v="743"/>
    <x v="0"/>
    <x v="0"/>
    <x v="743"/>
    <x v="0"/>
    <x v="42"/>
    <x v="0"/>
    <x v="0"/>
    <x v="586"/>
    <x v="95"/>
    <x v="0"/>
    <x v="0"/>
    <x v="42"/>
  </r>
  <r>
    <x v="744"/>
    <x v="1"/>
    <x v="0"/>
    <x v="744"/>
    <x v="0"/>
    <x v="14"/>
    <x v="1"/>
    <x v="0"/>
    <x v="587"/>
    <x v="2"/>
    <x v="0"/>
    <x v="0"/>
    <x v="14"/>
  </r>
  <r>
    <x v="745"/>
    <x v="0"/>
    <x v="1"/>
    <x v="745"/>
    <x v="0"/>
    <x v="81"/>
    <x v="0"/>
    <x v="1"/>
    <x v="451"/>
    <x v="202"/>
    <x v="95"/>
    <x v="0"/>
    <x v="81"/>
  </r>
  <r>
    <x v="746"/>
    <x v="0"/>
    <x v="0"/>
    <x v="746"/>
    <x v="0"/>
    <x v="36"/>
    <x v="0"/>
    <x v="1"/>
    <x v="248"/>
    <x v="134"/>
    <x v="0"/>
    <x v="0"/>
    <x v="36"/>
  </r>
  <r>
    <x v="747"/>
    <x v="1"/>
    <x v="2"/>
    <x v="747"/>
    <x v="1"/>
    <x v="39"/>
    <x v="1"/>
    <x v="0"/>
    <x v="588"/>
    <x v="16"/>
    <x v="0"/>
    <x v="0"/>
    <x v="39"/>
  </r>
  <r>
    <x v="748"/>
    <x v="0"/>
    <x v="1"/>
    <x v="748"/>
    <x v="0"/>
    <x v="19"/>
    <x v="0"/>
    <x v="0"/>
    <x v="589"/>
    <x v="3"/>
    <x v="128"/>
    <x v="0"/>
    <x v="19"/>
  </r>
  <r>
    <x v="749"/>
    <x v="0"/>
    <x v="0"/>
    <x v="749"/>
    <x v="0"/>
    <x v="14"/>
    <x v="1"/>
    <x v="0"/>
    <x v="590"/>
    <x v="28"/>
    <x v="0"/>
    <x v="2"/>
    <x v="14"/>
  </r>
  <r>
    <x v="750"/>
    <x v="1"/>
    <x v="2"/>
    <x v="750"/>
    <x v="1"/>
    <x v="9"/>
    <x v="0"/>
    <x v="1"/>
    <x v="591"/>
    <x v="68"/>
    <x v="0"/>
    <x v="0"/>
    <x v="9"/>
  </r>
  <r>
    <x v="751"/>
    <x v="1"/>
    <x v="0"/>
    <x v="751"/>
    <x v="0"/>
    <x v="83"/>
    <x v="1"/>
    <x v="1"/>
    <x v="592"/>
    <x v="57"/>
    <x v="129"/>
    <x v="0"/>
    <x v="83"/>
  </r>
  <r>
    <x v="752"/>
    <x v="0"/>
    <x v="0"/>
    <x v="752"/>
    <x v="0"/>
    <x v="40"/>
    <x v="1"/>
    <x v="0"/>
    <x v="593"/>
    <x v="59"/>
    <x v="0"/>
    <x v="0"/>
    <x v="40"/>
  </r>
  <r>
    <x v="753"/>
    <x v="0"/>
    <x v="0"/>
    <x v="753"/>
    <x v="0"/>
    <x v="41"/>
    <x v="1"/>
    <x v="0"/>
    <x v="594"/>
    <x v="25"/>
    <x v="0"/>
    <x v="0"/>
    <x v="41"/>
  </r>
  <r>
    <x v="754"/>
    <x v="1"/>
    <x v="2"/>
    <x v="754"/>
    <x v="1"/>
    <x v="76"/>
    <x v="0"/>
    <x v="2"/>
    <x v="503"/>
    <x v="216"/>
    <x v="0"/>
    <x v="0"/>
    <x v="76"/>
  </r>
  <r>
    <x v="755"/>
    <x v="1"/>
    <x v="2"/>
    <x v="755"/>
    <x v="0"/>
    <x v="84"/>
    <x v="0"/>
    <x v="1"/>
    <x v="221"/>
    <x v="80"/>
    <x v="0"/>
    <x v="0"/>
    <x v="84"/>
  </r>
  <r>
    <x v="756"/>
    <x v="0"/>
    <x v="0"/>
    <x v="756"/>
    <x v="0"/>
    <x v="17"/>
    <x v="1"/>
    <x v="0"/>
    <x v="595"/>
    <x v="88"/>
    <x v="0"/>
    <x v="0"/>
    <x v="17"/>
  </r>
  <r>
    <x v="757"/>
    <x v="0"/>
    <x v="2"/>
    <x v="757"/>
    <x v="0"/>
    <x v="24"/>
    <x v="1"/>
    <x v="0"/>
    <x v="596"/>
    <x v="86"/>
    <x v="0"/>
    <x v="0"/>
    <x v="24"/>
  </r>
  <r>
    <x v="758"/>
    <x v="0"/>
    <x v="0"/>
    <x v="758"/>
    <x v="0"/>
    <x v="15"/>
    <x v="1"/>
    <x v="0"/>
    <x v="597"/>
    <x v="4"/>
    <x v="0"/>
    <x v="0"/>
    <x v="15"/>
  </r>
  <r>
    <x v="759"/>
    <x v="1"/>
    <x v="1"/>
    <x v="759"/>
    <x v="1"/>
    <x v="40"/>
    <x v="1"/>
    <x v="0"/>
    <x v="230"/>
    <x v="126"/>
    <x v="44"/>
    <x v="0"/>
    <x v="40"/>
  </r>
  <r>
    <x v="760"/>
    <x v="0"/>
    <x v="0"/>
    <x v="760"/>
    <x v="0"/>
    <x v="4"/>
    <x v="1"/>
    <x v="0"/>
    <x v="476"/>
    <x v="80"/>
    <x v="0"/>
    <x v="0"/>
    <x v="4"/>
  </r>
  <r>
    <x v="761"/>
    <x v="0"/>
    <x v="0"/>
    <x v="761"/>
    <x v="0"/>
    <x v="66"/>
    <x v="1"/>
    <x v="0"/>
    <x v="598"/>
    <x v="123"/>
    <x v="0"/>
    <x v="0"/>
    <x v="66"/>
  </r>
  <r>
    <x v="762"/>
    <x v="1"/>
    <x v="0"/>
    <x v="762"/>
    <x v="0"/>
    <x v="11"/>
    <x v="1"/>
    <x v="0"/>
    <x v="599"/>
    <x v="32"/>
    <x v="0"/>
    <x v="1"/>
    <x v="11"/>
  </r>
  <r>
    <x v="763"/>
    <x v="1"/>
    <x v="1"/>
    <x v="763"/>
    <x v="1"/>
    <x v="62"/>
    <x v="0"/>
    <x v="2"/>
    <x v="334"/>
    <x v="168"/>
    <x v="73"/>
    <x v="0"/>
    <x v="62"/>
  </r>
  <r>
    <x v="764"/>
    <x v="0"/>
    <x v="0"/>
    <x v="764"/>
    <x v="0"/>
    <x v="36"/>
    <x v="1"/>
    <x v="0"/>
    <x v="600"/>
    <x v="71"/>
    <x v="0"/>
    <x v="0"/>
    <x v="36"/>
  </r>
  <r>
    <x v="765"/>
    <x v="1"/>
    <x v="1"/>
    <x v="765"/>
    <x v="1"/>
    <x v="54"/>
    <x v="0"/>
    <x v="0"/>
    <x v="245"/>
    <x v="133"/>
    <x v="130"/>
    <x v="0"/>
    <x v="54"/>
  </r>
  <r>
    <x v="766"/>
    <x v="0"/>
    <x v="1"/>
    <x v="766"/>
    <x v="0"/>
    <x v="4"/>
    <x v="1"/>
    <x v="0"/>
    <x v="601"/>
    <x v="205"/>
    <x v="0"/>
    <x v="1"/>
    <x v="4"/>
  </r>
  <r>
    <x v="767"/>
    <x v="0"/>
    <x v="0"/>
    <x v="767"/>
    <x v="1"/>
    <x v="85"/>
    <x v="1"/>
    <x v="0"/>
    <x v="602"/>
    <x v="28"/>
    <x v="0"/>
    <x v="2"/>
    <x v="85"/>
  </r>
  <r>
    <x v="768"/>
    <x v="0"/>
    <x v="0"/>
    <x v="768"/>
    <x v="0"/>
    <x v="4"/>
    <x v="0"/>
    <x v="0"/>
    <x v="106"/>
    <x v="72"/>
    <x v="0"/>
    <x v="2"/>
    <x v="4"/>
  </r>
  <r>
    <x v="769"/>
    <x v="0"/>
    <x v="0"/>
    <x v="769"/>
    <x v="0"/>
    <x v="35"/>
    <x v="1"/>
    <x v="0"/>
    <x v="603"/>
    <x v="230"/>
    <x v="0"/>
    <x v="0"/>
    <x v="35"/>
  </r>
  <r>
    <x v="770"/>
    <x v="0"/>
    <x v="0"/>
    <x v="770"/>
    <x v="0"/>
    <x v="42"/>
    <x v="1"/>
    <x v="0"/>
    <x v="604"/>
    <x v="59"/>
    <x v="0"/>
    <x v="0"/>
    <x v="42"/>
  </r>
  <r>
    <x v="771"/>
    <x v="0"/>
    <x v="0"/>
    <x v="771"/>
    <x v="0"/>
    <x v="76"/>
    <x v="1"/>
    <x v="0"/>
    <x v="605"/>
    <x v="13"/>
    <x v="0"/>
    <x v="0"/>
    <x v="76"/>
  </r>
  <r>
    <x v="772"/>
    <x v="0"/>
    <x v="2"/>
    <x v="772"/>
    <x v="1"/>
    <x v="79"/>
    <x v="1"/>
    <x v="0"/>
    <x v="606"/>
    <x v="29"/>
    <x v="131"/>
    <x v="0"/>
    <x v="79"/>
  </r>
  <r>
    <x v="773"/>
    <x v="0"/>
    <x v="0"/>
    <x v="773"/>
    <x v="0"/>
    <x v="4"/>
    <x v="1"/>
    <x v="0"/>
    <x v="607"/>
    <x v="18"/>
    <x v="0"/>
    <x v="1"/>
    <x v="4"/>
  </r>
  <r>
    <x v="774"/>
    <x v="1"/>
    <x v="2"/>
    <x v="774"/>
    <x v="1"/>
    <x v="5"/>
    <x v="0"/>
    <x v="4"/>
    <x v="608"/>
    <x v="68"/>
    <x v="0"/>
    <x v="0"/>
    <x v="5"/>
  </r>
  <r>
    <x v="775"/>
    <x v="0"/>
    <x v="0"/>
    <x v="775"/>
    <x v="0"/>
    <x v="24"/>
    <x v="1"/>
    <x v="0"/>
    <x v="609"/>
    <x v="28"/>
    <x v="0"/>
    <x v="0"/>
    <x v="24"/>
  </r>
  <r>
    <x v="776"/>
    <x v="0"/>
    <x v="0"/>
    <x v="776"/>
    <x v="0"/>
    <x v="4"/>
    <x v="1"/>
    <x v="0"/>
    <x v="610"/>
    <x v="28"/>
    <x v="132"/>
    <x v="2"/>
    <x v="4"/>
  </r>
  <r>
    <x v="777"/>
    <x v="1"/>
    <x v="0"/>
    <x v="777"/>
    <x v="1"/>
    <x v="31"/>
    <x v="1"/>
    <x v="0"/>
    <x v="77"/>
    <x v="57"/>
    <x v="0"/>
    <x v="0"/>
    <x v="31"/>
  </r>
  <r>
    <x v="778"/>
    <x v="0"/>
    <x v="0"/>
    <x v="778"/>
    <x v="0"/>
    <x v="4"/>
    <x v="1"/>
    <x v="0"/>
    <x v="611"/>
    <x v="229"/>
    <x v="0"/>
    <x v="2"/>
    <x v="4"/>
  </r>
  <r>
    <x v="779"/>
    <x v="1"/>
    <x v="1"/>
    <x v="779"/>
    <x v="1"/>
    <x v="71"/>
    <x v="1"/>
    <x v="1"/>
    <x v="550"/>
    <x v="224"/>
    <x v="133"/>
    <x v="0"/>
    <x v="71"/>
  </r>
  <r>
    <x v="780"/>
    <x v="1"/>
    <x v="0"/>
    <x v="780"/>
    <x v="1"/>
    <x v="75"/>
    <x v="1"/>
    <x v="0"/>
    <x v="612"/>
    <x v="32"/>
    <x v="0"/>
    <x v="1"/>
    <x v="75"/>
  </r>
  <r>
    <x v="781"/>
    <x v="1"/>
    <x v="1"/>
    <x v="781"/>
    <x v="1"/>
    <x v="34"/>
    <x v="0"/>
    <x v="0"/>
    <x v="551"/>
    <x v="225"/>
    <x v="118"/>
    <x v="0"/>
    <x v="34"/>
  </r>
  <r>
    <x v="782"/>
    <x v="0"/>
    <x v="1"/>
    <x v="782"/>
    <x v="0"/>
    <x v="28"/>
    <x v="1"/>
    <x v="0"/>
    <x v="613"/>
    <x v="209"/>
    <x v="134"/>
    <x v="0"/>
    <x v="28"/>
  </r>
  <r>
    <x v="783"/>
    <x v="0"/>
    <x v="0"/>
    <x v="783"/>
    <x v="0"/>
    <x v="4"/>
    <x v="0"/>
    <x v="2"/>
    <x v="614"/>
    <x v="231"/>
    <x v="0"/>
    <x v="0"/>
    <x v="4"/>
  </r>
  <r>
    <x v="784"/>
    <x v="0"/>
    <x v="0"/>
    <x v="784"/>
    <x v="0"/>
    <x v="37"/>
    <x v="1"/>
    <x v="0"/>
    <x v="615"/>
    <x v="79"/>
    <x v="0"/>
    <x v="0"/>
    <x v="37"/>
  </r>
  <r>
    <x v="785"/>
    <x v="0"/>
    <x v="0"/>
    <x v="785"/>
    <x v="0"/>
    <x v="37"/>
    <x v="1"/>
    <x v="0"/>
    <x v="616"/>
    <x v="0"/>
    <x v="0"/>
    <x v="0"/>
    <x v="37"/>
  </r>
  <r>
    <x v="786"/>
    <x v="1"/>
    <x v="0"/>
    <x v="786"/>
    <x v="1"/>
    <x v="24"/>
    <x v="1"/>
    <x v="0"/>
    <x v="617"/>
    <x v="196"/>
    <x v="0"/>
    <x v="0"/>
    <x v="24"/>
  </r>
  <r>
    <x v="787"/>
    <x v="0"/>
    <x v="0"/>
    <x v="787"/>
    <x v="0"/>
    <x v="18"/>
    <x v="3"/>
    <x v="1"/>
    <x v="16"/>
    <x v="15"/>
    <x v="0"/>
    <x v="2"/>
    <x v="18"/>
  </r>
  <r>
    <x v="788"/>
    <x v="1"/>
    <x v="0"/>
    <x v="788"/>
    <x v="0"/>
    <x v="58"/>
    <x v="0"/>
    <x v="2"/>
    <x v="90"/>
    <x v="65"/>
    <x v="0"/>
    <x v="0"/>
    <x v="58"/>
  </r>
  <r>
    <x v="789"/>
    <x v="0"/>
    <x v="1"/>
    <x v="789"/>
    <x v="0"/>
    <x v="43"/>
    <x v="1"/>
    <x v="0"/>
    <x v="129"/>
    <x v="84"/>
    <x v="135"/>
    <x v="1"/>
    <x v="43"/>
  </r>
  <r>
    <x v="790"/>
    <x v="0"/>
    <x v="0"/>
    <x v="790"/>
    <x v="0"/>
    <x v="4"/>
    <x v="1"/>
    <x v="0"/>
    <x v="618"/>
    <x v="28"/>
    <x v="0"/>
    <x v="2"/>
    <x v="4"/>
  </r>
  <r>
    <x v="791"/>
    <x v="0"/>
    <x v="2"/>
    <x v="791"/>
    <x v="0"/>
    <x v="36"/>
    <x v="1"/>
    <x v="0"/>
    <x v="20"/>
    <x v="19"/>
    <x v="0"/>
    <x v="0"/>
    <x v="36"/>
  </r>
  <r>
    <x v="792"/>
    <x v="0"/>
    <x v="0"/>
    <x v="792"/>
    <x v="1"/>
    <x v="4"/>
    <x v="6"/>
    <x v="2"/>
    <x v="148"/>
    <x v="94"/>
    <x v="0"/>
    <x v="0"/>
    <x v="4"/>
  </r>
  <r>
    <x v="793"/>
    <x v="0"/>
    <x v="1"/>
    <x v="793"/>
    <x v="0"/>
    <x v="4"/>
    <x v="1"/>
    <x v="0"/>
    <x v="619"/>
    <x v="101"/>
    <x v="0"/>
    <x v="1"/>
    <x v="4"/>
  </r>
  <r>
    <x v="794"/>
    <x v="0"/>
    <x v="0"/>
    <x v="794"/>
    <x v="0"/>
    <x v="37"/>
    <x v="1"/>
    <x v="0"/>
    <x v="620"/>
    <x v="25"/>
    <x v="0"/>
    <x v="0"/>
    <x v="37"/>
  </r>
  <r>
    <x v="795"/>
    <x v="0"/>
    <x v="2"/>
    <x v="795"/>
    <x v="0"/>
    <x v="12"/>
    <x v="1"/>
    <x v="0"/>
    <x v="621"/>
    <x v="16"/>
    <x v="0"/>
    <x v="0"/>
    <x v="12"/>
  </r>
  <r>
    <x v="796"/>
    <x v="1"/>
    <x v="1"/>
    <x v="796"/>
    <x v="1"/>
    <x v="27"/>
    <x v="1"/>
    <x v="0"/>
    <x v="622"/>
    <x v="232"/>
    <x v="136"/>
    <x v="0"/>
    <x v="27"/>
  </r>
  <r>
    <x v="797"/>
    <x v="1"/>
    <x v="0"/>
    <x v="797"/>
    <x v="1"/>
    <x v="14"/>
    <x v="1"/>
    <x v="0"/>
    <x v="623"/>
    <x v="233"/>
    <x v="0"/>
    <x v="0"/>
    <x v="14"/>
  </r>
  <r>
    <x v="798"/>
    <x v="0"/>
    <x v="0"/>
    <x v="798"/>
    <x v="0"/>
    <x v="39"/>
    <x v="1"/>
    <x v="0"/>
    <x v="624"/>
    <x v="32"/>
    <x v="0"/>
    <x v="1"/>
    <x v="39"/>
  </r>
  <r>
    <x v="799"/>
    <x v="0"/>
    <x v="0"/>
    <x v="799"/>
    <x v="1"/>
    <x v="39"/>
    <x v="0"/>
    <x v="1"/>
    <x v="357"/>
    <x v="72"/>
    <x v="0"/>
    <x v="0"/>
    <x v="39"/>
  </r>
  <r>
    <x v="800"/>
    <x v="0"/>
    <x v="2"/>
    <x v="800"/>
    <x v="0"/>
    <x v="15"/>
    <x v="1"/>
    <x v="0"/>
    <x v="567"/>
    <x v="16"/>
    <x v="0"/>
    <x v="0"/>
    <x v="15"/>
  </r>
  <r>
    <x v="801"/>
    <x v="1"/>
    <x v="2"/>
    <x v="801"/>
    <x v="1"/>
    <x v="14"/>
    <x v="0"/>
    <x v="1"/>
    <x v="212"/>
    <x v="121"/>
    <x v="0"/>
    <x v="0"/>
    <x v="14"/>
  </r>
  <r>
    <x v="802"/>
    <x v="1"/>
    <x v="1"/>
    <x v="802"/>
    <x v="0"/>
    <x v="32"/>
    <x v="0"/>
    <x v="2"/>
    <x v="334"/>
    <x v="168"/>
    <x v="73"/>
    <x v="0"/>
    <x v="32"/>
  </r>
  <r>
    <x v="803"/>
    <x v="1"/>
    <x v="0"/>
    <x v="803"/>
    <x v="0"/>
    <x v="86"/>
    <x v="1"/>
    <x v="1"/>
    <x v="625"/>
    <x v="234"/>
    <x v="0"/>
    <x v="1"/>
    <x v="86"/>
  </r>
  <r>
    <x v="804"/>
    <x v="1"/>
    <x v="0"/>
    <x v="804"/>
    <x v="0"/>
    <x v="7"/>
    <x v="1"/>
    <x v="0"/>
    <x v="626"/>
    <x v="78"/>
    <x v="0"/>
    <x v="0"/>
    <x v="7"/>
  </r>
  <r>
    <x v="805"/>
    <x v="0"/>
    <x v="0"/>
    <x v="805"/>
    <x v="0"/>
    <x v="14"/>
    <x v="1"/>
    <x v="0"/>
    <x v="627"/>
    <x v="71"/>
    <x v="0"/>
    <x v="0"/>
    <x v="14"/>
  </r>
  <r>
    <x v="806"/>
    <x v="0"/>
    <x v="1"/>
    <x v="806"/>
    <x v="0"/>
    <x v="12"/>
    <x v="1"/>
    <x v="0"/>
    <x v="628"/>
    <x v="104"/>
    <x v="137"/>
    <x v="0"/>
    <x v="12"/>
  </r>
  <r>
    <x v="807"/>
    <x v="0"/>
    <x v="0"/>
    <x v="807"/>
    <x v="1"/>
    <x v="24"/>
    <x v="1"/>
    <x v="0"/>
    <x v="629"/>
    <x v="71"/>
    <x v="0"/>
    <x v="0"/>
    <x v="24"/>
  </r>
  <r>
    <x v="808"/>
    <x v="0"/>
    <x v="2"/>
    <x v="808"/>
    <x v="0"/>
    <x v="12"/>
    <x v="1"/>
    <x v="0"/>
    <x v="630"/>
    <x v="16"/>
    <x v="0"/>
    <x v="0"/>
    <x v="12"/>
  </r>
  <r>
    <x v="809"/>
    <x v="1"/>
    <x v="1"/>
    <x v="809"/>
    <x v="1"/>
    <x v="40"/>
    <x v="0"/>
    <x v="0"/>
    <x v="575"/>
    <x v="3"/>
    <x v="124"/>
    <x v="0"/>
    <x v="40"/>
  </r>
  <r>
    <x v="810"/>
    <x v="0"/>
    <x v="0"/>
    <x v="810"/>
    <x v="0"/>
    <x v="2"/>
    <x v="1"/>
    <x v="0"/>
    <x v="631"/>
    <x v="235"/>
    <x v="0"/>
    <x v="0"/>
    <x v="2"/>
  </r>
  <r>
    <x v="811"/>
    <x v="0"/>
    <x v="0"/>
    <x v="811"/>
    <x v="0"/>
    <x v="12"/>
    <x v="1"/>
    <x v="0"/>
    <x v="467"/>
    <x v="72"/>
    <x v="0"/>
    <x v="0"/>
    <x v="12"/>
  </r>
  <r>
    <x v="812"/>
    <x v="0"/>
    <x v="2"/>
    <x v="812"/>
    <x v="0"/>
    <x v="3"/>
    <x v="1"/>
    <x v="0"/>
    <x v="632"/>
    <x v="29"/>
    <x v="0"/>
    <x v="0"/>
    <x v="3"/>
  </r>
  <r>
    <x v="813"/>
    <x v="0"/>
    <x v="0"/>
    <x v="813"/>
    <x v="1"/>
    <x v="83"/>
    <x v="3"/>
    <x v="2"/>
    <x v="13"/>
    <x v="12"/>
    <x v="0"/>
    <x v="0"/>
    <x v="83"/>
  </r>
  <r>
    <x v="814"/>
    <x v="0"/>
    <x v="0"/>
    <x v="814"/>
    <x v="0"/>
    <x v="85"/>
    <x v="1"/>
    <x v="0"/>
    <x v="633"/>
    <x v="4"/>
    <x v="0"/>
    <x v="0"/>
    <x v="85"/>
  </r>
  <r>
    <x v="815"/>
    <x v="0"/>
    <x v="1"/>
    <x v="815"/>
    <x v="0"/>
    <x v="4"/>
    <x v="1"/>
    <x v="0"/>
    <x v="634"/>
    <x v="104"/>
    <x v="138"/>
    <x v="0"/>
    <x v="4"/>
  </r>
  <r>
    <x v="816"/>
    <x v="0"/>
    <x v="0"/>
    <x v="816"/>
    <x v="1"/>
    <x v="41"/>
    <x v="1"/>
    <x v="0"/>
    <x v="635"/>
    <x v="2"/>
    <x v="0"/>
    <x v="0"/>
    <x v="41"/>
  </r>
  <r>
    <x v="817"/>
    <x v="0"/>
    <x v="2"/>
    <x v="817"/>
    <x v="0"/>
    <x v="14"/>
    <x v="0"/>
    <x v="1"/>
    <x v="636"/>
    <x v="236"/>
    <x v="0"/>
    <x v="1"/>
    <x v="14"/>
  </r>
  <r>
    <x v="818"/>
    <x v="0"/>
    <x v="0"/>
    <x v="818"/>
    <x v="0"/>
    <x v="71"/>
    <x v="1"/>
    <x v="0"/>
    <x v="637"/>
    <x v="237"/>
    <x v="0"/>
    <x v="0"/>
    <x v="71"/>
  </r>
  <r>
    <x v="819"/>
    <x v="0"/>
    <x v="0"/>
    <x v="819"/>
    <x v="0"/>
    <x v="73"/>
    <x v="2"/>
    <x v="2"/>
    <x v="62"/>
    <x v="48"/>
    <x v="0"/>
    <x v="0"/>
    <x v="73"/>
  </r>
  <r>
    <x v="820"/>
    <x v="1"/>
    <x v="1"/>
    <x v="820"/>
    <x v="1"/>
    <x v="67"/>
    <x v="0"/>
    <x v="1"/>
    <x v="435"/>
    <x v="198"/>
    <x v="139"/>
    <x v="0"/>
    <x v="67"/>
  </r>
  <r>
    <x v="821"/>
    <x v="1"/>
    <x v="0"/>
    <x v="821"/>
    <x v="0"/>
    <x v="7"/>
    <x v="1"/>
    <x v="0"/>
    <x v="638"/>
    <x v="51"/>
    <x v="0"/>
    <x v="0"/>
    <x v="7"/>
  </r>
  <r>
    <x v="822"/>
    <x v="0"/>
    <x v="1"/>
    <x v="822"/>
    <x v="0"/>
    <x v="1"/>
    <x v="1"/>
    <x v="0"/>
    <x v="639"/>
    <x v="104"/>
    <x v="0"/>
    <x v="0"/>
    <x v="1"/>
  </r>
  <r>
    <x v="823"/>
    <x v="1"/>
    <x v="0"/>
    <x v="823"/>
    <x v="1"/>
    <x v="7"/>
    <x v="1"/>
    <x v="1"/>
    <x v="592"/>
    <x v="57"/>
    <x v="129"/>
    <x v="0"/>
    <x v="7"/>
  </r>
  <r>
    <x v="824"/>
    <x v="0"/>
    <x v="0"/>
    <x v="824"/>
    <x v="0"/>
    <x v="6"/>
    <x v="3"/>
    <x v="1"/>
    <x v="49"/>
    <x v="40"/>
    <x v="0"/>
    <x v="0"/>
    <x v="6"/>
  </r>
  <r>
    <x v="825"/>
    <x v="0"/>
    <x v="0"/>
    <x v="825"/>
    <x v="0"/>
    <x v="4"/>
    <x v="1"/>
    <x v="0"/>
    <x v="640"/>
    <x v="238"/>
    <x v="0"/>
    <x v="2"/>
    <x v="4"/>
  </r>
  <r>
    <x v="826"/>
    <x v="0"/>
    <x v="0"/>
    <x v="826"/>
    <x v="0"/>
    <x v="4"/>
    <x v="1"/>
    <x v="0"/>
    <x v="72"/>
    <x v="54"/>
    <x v="0"/>
    <x v="0"/>
    <x v="4"/>
  </r>
  <r>
    <x v="827"/>
    <x v="1"/>
    <x v="2"/>
    <x v="827"/>
    <x v="0"/>
    <x v="58"/>
    <x v="1"/>
    <x v="2"/>
    <x v="636"/>
    <x v="236"/>
    <x v="0"/>
    <x v="1"/>
    <x v="58"/>
  </r>
  <r>
    <x v="828"/>
    <x v="1"/>
    <x v="0"/>
    <x v="828"/>
    <x v="0"/>
    <x v="4"/>
    <x v="1"/>
    <x v="0"/>
    <x v="641"/>
    <x v="28"/>
    <x v="0"/>
    <x v="2"/>
    <x v="4"/>
  </r>
  <r>
    <x v="829"/>
    <x v="1"/>
    <x v="1"/>
    <x v="829"/>
    <x v="1"/>
    <x v="65"/>
    <x v="1"/>
    <x v="0"/>
    <x v="60"/>
    <x v="46"/>
    <x v="13"/>
    <x v="3"/>
    <x v="65"/>
  </r>
  <r>
    <x v="830"/>
    <x v="1"/>
    <x v="0"/>
    <x v="830"/>
    <x v="1"/>
    <x v="16"/>
    <x v="0"/>
    <x v="0"/>
    <x v="505"/>
    <x v="53"/>
    <x v="0"/>
    <x v="1"/>
    <x v="16"/>
  </r>
  <r>
    <x v="831"/>
    <x v="1"/>
    <x v="2"/>
    <x v="831"/>
    <x v="0"/>
    <x v="38"/>
    <x v="0"/>
    <x v="1"/>
    <x v="348"/>
    <x v="170"/>
    <x v="0"/>
    <x v="0"/>
    <x v="38"/>
  </r>
  <r>
    <x v="832"/>
    <x v="0"/>
    <x v="0"/>
    <x v="832"/>
    <x v="0"/>
    <x v="4"/>
    <x v="1"/>
    <x v="0"/>
    <x v="642"/>
    <x v="32"/>
    <x v="0"/>
    <x v="1"/>
    <x v="4"/>
  </r>
  <r>
    <x v="833"/>
    <x v="0"/>
    <x v="0"/>
    <x v="833"/>
    <x v="0"/>
    <x v="41"/>
    <x v="1"/>
    <x v="0"/>
    <x v="643"/>
    <x v="13"/>
    <x v="0"/>
    <x v="0"/>
    <x v="41"/>
  </r>
  <r>
    <x v="834"/>
    <x v="0"/>
    <x v="0"/>
    <x v="834"/>
    <x v="0"/>
    <x v="24"/>
    <x v="1"/>
    <x v="0"/>
    <x v="644"/>
    <x v="239"/>
    <x v="0"/>
    <x v="0"/>
    <x v="24"/>
  </r>
  <r>
    <x v="835"/>
    <x v="1"/>
    <x v="1"/>
    <x v="835"/>
    <x v="1"/>
    <x v="12"/>
    <x v="0"/>
    <x v="1"/>
    <x v="645"/>
    <x v="147"/>
    <x v="140"/>
    <x v="1"/>
    <x v="12"/>
  </r>
  <r>
    <x v="836"/>
    <x v="0"/>
    <x v="0"/>
    <x v="836"/>
    <x v="0"/>
    <x v="23"/>
    <x v="1"/>
    <x v="0"/>
    <x v="646"/>
    <x v="51"/>
    <x v="0"/>
    <x v="0"/>
    <x v="23"/>
  </r>
  <r>
    <x v="837"/>
    <x v="0"/>
    <x v="0"/>
    <x v="837"/>
    <x v="0"/>
    <x v="4"/>
    <x v="1"/>
    <x v="0"/>
    <x v="647"/>
    <x v="4"/>
    <x v="0"/>
    <x v="0"/>
    <x v="4"/>
  </r>
  <r>
    <x v="838"/>
    <x v="1"/>
    <x v="0"/>
    <x v="838"/>
    <x v="0"/>
    <x v="35"/>
    <x v="1"/>
    <x v="0"/>
    <x v="72"/>
    <x v="54"/>
    <x v="0"/>
    <x v="0"/>
    <x v="35"/>
  </r>
  <r>
    <x v="839"/>
    <x v="1"/>
    <x v="1"/>
    <x v="839"/>
    <x v="0"/>
    <x v="4"/>
    <x v="1"/>
    <x v="0"/>
    <x v="648"/>
    <x v="132"/>
    <x v="141"/>
    <x v="1"/>
    <x v="4"/>
  </r>
  <r>
    <x v="840"/>
    <x v="0"/>
    <x v="0"/>
    <x v="840"/>
    <x v="0"/>
    <x v="11"/>
    <x v="1"/>
    <x v="0"/>
    <x v="649"/>
    <x v="2"/>
    <x v="0"/>
    <x v="0"/>
    <x v="11"/>
  </r>
  <r>
    <x v="841"/>
    <x v="0"/>
    <x v="2"/>
    <x v="841"/>
    <x v="0"/>
    <x v="36"/>
    <x v="1"/>
    <x v="0"/>
    <x v="606"/>
    <x v="29"/>
    <x v="0"/>
    <x v="0"/>
    <x v="36"/>
  </r>
  <r>
    <x v="842"/>
    <x v="1"/>
    <x v="1"/>
    <x v="842"/>
    <x v="1"/>
    <x v="39"/>
    <x v="1"/>
    <x v="0"/>
    <x v="241"/>
    <x v="113"/>
    <x v="0"/>
    <x v="1"/>
    <x v="39"/>
  </r>
  <r>
    <x v="843"/>
    <x v="0"/>
    <x v="0"/>
    <x v="843"/>
    <x v="0"/>
    <x v="87"/>
    <x v="1"/>
    <x v="0"/>
    <x v="650"/>
    <x v="240"/>
    <x v="0"/>
    <x v="1"/>
    <x v="87"/>
  </r>
  <r>
    <x v="844"/>
    <x v="0"/>
    <x v="0"/>
    <x v="844"/>
    <x v="0"/>
    <x v="34"/>
    <x v="1"/>
    <x v="0"/>
    <x v="651"/>
    <x v="51"/>
    <x v="0"/>
    <x v="0"/>
    <x v="34"/>
  </r>
  <r>
    <x v="845"/>
    <x v="0"/>
    <x v="0"/>
    <x v="845"/>
    <x v="0"/>
    <x v="22"/>
    <x v="1"/>
    <x v="0"/>
    <x v="652"/>
    <x v="120"/>
    <x v="0"/>
    <x v="0"/>
    <x v="22"/>
  </r>
  <r>
    <x v="846"/>
    <x v="0"/>
    <x v="0"/>
    <x v="846"/>
    <x v="0"/>
    <x v="4"/>
    <x v="6"/>
    <x v="2"/>
    <x v="148"/>
    <x v="94"/>
    <x v="0"/>
    <x v="0"/>
    <x v="4"/>
  </r>
  <r>
    <x v="847"/>
    <x v="0"/>
    <x v="0"/>
    <x v="847"/>
    <x v="0"/>
    <x v="3"/>
    <x v="1"/>
    <x v="0"/>
    <x v="653"/>
    <x v="25"/>
    <x v="0"/>
    <x v="1"/>
    <x v="3"/>
  </r>
  <r>
    <x v="848"/>
    <x v="0"/>
    <x v="2"/>
    <x v="848"/>
    <x v="0"/>
    <x v="17"/>
    <x v="1"/>
    <x v="1"/>
    <x v="491"/>
    <x v="213"/>
    <x v="0"/>
    <x v="0"/>
    <x v="17"/>
  </r>
  <r>
    <x v="849"/>
    <x v="1"/>
    <x v="1"/>
    <x v="849"/>
    <x v="1"/>
    <x v="4"/>
    <x v="0"/>
    <x v="0"/>
    <x v="383"/>
    <x v="180"/>
    <x v="79"/>
    <x v="1"/>
    <x v="4"/>
  </r>
  <r>
    <x v="850"/>
    <x v="0"/>
    <x v="0"/>
    <x v="850"/>
    <x v="0"/>
    <x v="9"/>
    <x v="3"/>
    <x v="2"/>
    <x v="13"/>
    <x v="12"/>
    <x v="0"/>
    <x v="0"/>
    <x v="9"/>
  </r>
  <r>
    <x v="851"/>
    <x v="0"/>
    <x v="0"/>
    <x v="851"/>
    <x v="0"/>
    <x v="88"/>
    <x v="1"/>
    <x v="0"/>
    <x v="654"/>
    <x v="71"/>
    <x v="0"/>
    <x v="0"/>
    <x v="88"/>
  </r>
  <r>
    <x v="852"/>
    <x v="0"/>
    <x v="0"/>
    <x v="852"/>
    <x v="1"/>
    <x v="52"/>
    <x v="0"/>
    <x v="1"/>
    <x v="130"/>
    <x v="49"/>
    <x v="0"/>
    <x v="1"/>
    <x v="52"/>
  </r>
  <r>
    <x v="853"/>
    <x v="1"/>
    <x v="1"/>
    <x v="853"/>
    <x v="1"/>
    <x v="36"/>
    <x v="1"/>
    <x v="1"/>
    <x v="655"/>
    <x v="241"/>
    <x v="142"/>
    <x v="0"/>
    <x v="36"/>
  </r>
  <r>
    <x v="854"/>
    <x v="0"/>
    <x v="2"/>
    <x v="854"/>
    <x v="1"/>
    <x v="57"/>
    <x v="0"/>
    <x v="0"/>
    <x v="223"/>
    <x v="19"/>
    <x v="0"/>
    <x v="0"/>
    <x v="57"/>
  </r>
  <r>
    <x v="855"/>
    <x v="1"/>
    <x v="0"/>
    <x v="855"/>
    <x v="1"/>
    <x v="24"/>
    <x v="1"/>
    <x v="1"/>
    <x v="656"/>
    <x v="118"/>
    <x v="0"/>
    <x v="0"/>
    <x v="24"/>
  </r>
  <r>
    <x v="856"/>
    <x v="1"/>
    <x v="1"/>
    <x v="856"/>
    <x v="1"/>
    <x v="33"/>
    <x v="0"/>
    <x v="1"/>
    <x v="283"/>
    <x v="150"/>
    <x v="0"/>
    <x v="0"/>
    <x v="33"/>
  </r>
  <r>
    <x v="857"/>
    <x v="1"/>
    <x v="1"/>
    <x v="857"/>
    <x v="0"/>
    <x v="54"/>
    <x v="1"/>
    <x v="0"/>
    <x v="657"/>
    <x v="11"/>
    <x v="143"/>
    <x v="0"/>
    <x v="54"/>
  </r>
  <r>
    <x v="858"/>
    <x v="1"/>
    <x v="0"/>
    <x v="858"/>
    <x v="1"/>
    <x v="42"/>
    <x v="1"/>
    <x v="4"/>
    <x v="379"/>
    <x v="178"/>
    <x v="0"/>
    <x v="1"/>
    <x v="42"/>
  </r>
  <r>
    <x v="859"/>
    <x v="0"/>
    <x v="0"/>
    <x v="859"/>
    <x v="0"/>
    <x v="4"/>
    <x v="1"/>
    <x v="0"/>
    <x v="658"/>
    <x v="32"/>
    <x v="0"/>
    <x v="1"/>
    <x v="4"/>
  </r>
  <r>
    <x v="860"/>
    <x v="0"/>
    <x v="0"/>
    <x v="860"/>
    <x v="0"/>
    <x v="66"/>
    <x v="4"/>
    <x v="0"/>
    <x v="659"/>
    <x v="242"/>
    <x v="0"/>
    <x v="0"/>
    <x v="66"/>
  </r>
  <r>
    <x v="861"/>
    <x v="0"/>
    <x v="2"/>
    <x v="861"/>
    <x v="0"/>
    <x v="23"/>
    <x v="0"/>
    <x v="0"/>
    <x v="660"/>
    <x v="86"/>
    <x v="0"/>
    <x v="0"/>
    <x v="23"/>
  </r>
  <r>
    <x v="862"/>
    <x v="1"/>
    <x v="1"/>
    <x v="862"/>
    <x v="1"/>
    <x v="76"/>
    <x v="1"/>
    <x v="0"/>
    <x v="661"/>
    <x v="232"/>
    <x v="136"/>
    <x v="0"/>
    <x v="76"/>
  </r>
  <r>
    <x v="863"/>
    <x v="0"/>
    <x v="0"/>
    <x v="863"/>
    <x v="1"/>
    <x v="4"/>
    <x v="6"/>
    <x v="2"/>
    <x v="148"/>
    <x v="94"/>
    <x v="0"/>
    <x v="0"/>
    <x v="4"/>
  </r>
  <r>
    <x v="864"/>
    <x v="0"/>
    <x v="2"/>
    <x v="864"/>
    <x v="0"/>
    <x v="42"/>
    <x v="1"/>
    <x v="0"/>
    <x v="662"/>
    <x v="16"/>
    <x v="0"/>
    <x v="0"/>
    <x v="42"/>
  </r>
  <r>
    <x v="865"/>
    <x v="1"/>
    <x v="2"/>
    <x v="865"/>
    <x v="1"/>
    <x v="22"/>
    <x v="1"/>
    <x v="0"/>
    <x v="663"/>
    <x v="16"/>
    <x v="0"/>
    <x v="0"/>
    <x v="22"/>
  </r>
  <r>
    <x v="866"/>
    <x v="1"/>
    <x v="2"/>
    <x v="866"/>
    <x v="1"/>
    <x v="7"/>
    <x v="0"/>
    <x v="0"/>
    <x v="664"/>
    <x v="243"/>
    <x v="0"/>
    <x v="1"/>
    <x v="7"/>
  </r>
  <r>
    <x v="867"/>
    <x v="0"/>
    <x v="1"/>
    <x v="867"/>
    <x v="0"/>
    <x v="14"/>
    <x v="1"/>
    <x v="0"/>
    <x v="665"/>
    <x v="244"/>
    <x v="144"/>
    <x v="0"/>
    <x v="14"/>
  </r>
  <r>
    <x v="868"/>
    <x v="0"/>
    <x v="0"/>
    <x v="868"/>
    <x v="0"/>
    <x v="4"/>
    <x v="1"/>
    <x v="0"/>
    <x v="666"/>
    <x v="59"/>
    <x v="0"/>
    <x v="0"/>
    <x v="4"/>
  </r>
  <r>
    <x v="869"/>
    <x v="1"/>
    <x v="0"/>
    <x v="869"/>
    <x v="0"/>
    <x v="9"/>
    <x v="0"/>
    <x v="1"/>
    <x v="8"/>
    <x v="8"/>
    <x v="0"/>
    <x v="0"/>
    <x v="9"/>
  </r>
  <r>
    <x v="870"/>
    <x v="0"/>
    <x v="0"/>
    <x v="870"/>
    <x v="0"/>
    <x v="2"/>
    <x v="1"/>
    <x v="0"/>
    <x v="667"/>
    <x v="25"/>
    <x v="0"/>
    <x v="0"/>
    <x v="2"/>
  </r>
  <r>
    <x v="871"/>
    <x v="1"/>
    <x v="1"/>
    <x v="871"/>
    <x v="1"/>
    <x v="47"/>
    <x v="0"/>
    <x v="1"/>
    <x v="222"/>
    <x v="124"/>
    <x v="42"/>
    <x v="0"/>
    <x v="47"/>
  </r>
  <r>
    <x v="872"/>
    <x v="0"/>
    <x v="1"/>
    <x v="872"/>
    <x v="0"/>
    <x v="40"/>
    <x v="1"/>
    <x v="0"/>
    <x v="668"/>
    <x v="245"/>
    <x v="115"/>
    <x v="0"/>
    <x v="40"/>
  </r>
  <r>
    <x v="873"/>
    <x v="0"/>
    <x v="0"/>
    <x v="873"/>
    <x v="0"/>
    <x v="47"/>
    <x v="1"/>
    <x v="0"/>
    <x v="669"/>
    <x v="58"/>
    <x v="0"/>
    <x v="0"/>
    <x v="47"/>
  </r>
  <r>
    <x v="874"/>
    <x v="1"/>
    <x v="2"/>
    <x v="874"/>
    <x v="1"/>
    <x v="17"/>
    <x v="0"/>
    <x v="0"/>
    <x v="274"/>
    <x v="145"/>
    <x v="0"/>
    <x v="1"/>
    <x v="17"/>
  </r>
  <r>
    <x v="875"/>
    <x v="1"/>
    <x v="0"/>
    <x v="875"/>
    <x v="1"/>
    <x v="16"/>
    <x v="1"/>
    <x v="0"/>
    <x v="670"/>
    <x v="18"/>
    <x v="0"/>
    <x v="1"/>
    <x v="16"/>
  </r>
  <r>
    <x v="876"/>
    <x v="0"/>
    <x v="0"/>
    <x v="876"/>
    <x v="0"/>
    <x v="11"/>
    <x v="1"/>
    <x v="0"/>
    <x v="128"/>
    <x v="246"/>
    <x v="0"/>
    <x v="0"/>
    <x v="11"/>
  </r>
  <r>
    <x v="877"/>
    <x v="0"/>
    <x v="0"/>
    <x v="877"/>
    <x v="0"/>
    <x v="19"/>
    <x v="1"/>
    <x v="0"/>
    <x v="671"/>
    <x v="25"/>
    <x v="0"/>
    <x v="0"/>
    <x v="19"/>
  </r>
  <r>
    <x v="878"/>
    <x v="0"/>
    <x v="0"/>
    <x v="878"/>
    <x v="0"/>
    <x v="4"/>
    <x v="1"/>
    <x v="0"/>
    <x v="672"/>
    <x v="25"/>
    <x v="0"/>
    <x v="0"/>
    <x v="4"/>
  </r>
  <r>
    <x v="879"/>
    <x v="1"/>
    <x v="1"/>
    <x v="879"/>
    <x v="1"/>
    <x v="60"/>
    <x v="1"/>
    <x v="1"/>
    <x v="276"/>
    <x v="147"/>
    <x v="145"/>
    <x v="1"/>
    <x v="60"/>
  </r>
  <r>
    <x v="880"/>
    <x v="1"/>
    <x v="2"/>
    <x v="880"/>
    <x v="1"/>
    <x v="37"/>
    <x v="1"/>
    <x v="1"/>
    <x v="232"/>
    <x v="19"/>
    <x v="0"/>
    <x v="0"/>
    <x v="37"/>
  </r>
  <r>
    <x v="881"/>
    <x v="0"/>
    <x v="0"/>
    <x v="881"/>
    <x v="0"/>
    <x v="40"/>
    <x v="1"/>
    <x v="0"/>
    <x v="673"/>
    <x v="25"/>
    <x v="0"/>
    <x v="0"/>
    <x v="40"/>
  </r>
  <r>
    <x v="882"/>
    <x v="0"/>
    <x v="0"/>
    <x v="882"/>
    <x v="1"/>
    <x v="0"/>
    <x v="1"/>
    <x v="0"/>
    <x v="674"/>
    <x v="247"/>
    <x v="0"/>
    <x v="0"/>
    <x v="0"/>
  </r>
  <r>
    <x v="883"/>
    <x v="0"/>
    <x v="2"/>
    <x v="883"/>
    <x v="0"/>
    <x v="17"/>
    <x v="1"/>
    <x v="0"/>
    <x v="675"/>
    <x v="29"/>
    <x v="0"/>
    <x v="0"/>
    <x v="17"/>
  </r>
  <r>
    <x v="884"/>
    <x v="0"/>
    <x v="0"/>
    <x v="884"/>
    <x v="0"/>
    <x v="37"/>
    <x v="1"/>
    <x v="0"/>
    <x v="676"/>
    <x v="79"/>
    <x v="0"/>
    <x v="0"/>
    <x v="37"/>
  </r>
  <r>
    <x v="885"/>
    <x v="0"/>
    <x v="0"/>
    <x v="885"/>
    <x v="1"/>
    <x v="12"/>
    <x v="1"/>
    <x v="3"/>
    <x v="16"/>
    <x v="15"/>
    <x v="0"/>
    <x v="2"/>
    <x v="12"/>
  </r>
  <r>
    <x v="886"/>
    <x v="0"/>
    <x v="2"/>
    <x v="886"/>
    <x v="0"/>
    <x v="7"/>
    <x v="1"/>
    <x v="0"/>
    <x v="677"/>
    <x v="16"/>
    <x v="0"/>
    <x v="0"/>
    <x v="7"/>
  </r>
  <r>
    <x v="887"/>
    <x v="1"/>
    <x v="1"/>
    <x v="887"/>
    <x v="1"/>
    <x v="19"/>
    <x v="1"/>
    <x v="0"/>
    <x v="678"/>
    <x v="209"/>
    <x v="146"/>
    <x v="0"/>
    <x v="19"/>
  </r>
  <r>
    <x v="888"/>
    <x v="0"/>
    <x v="0"/>
    <x v="888"/>
    <x v="1"/>
    <x v="4"/>
    <x v="0"/>
    <x v="2"/>
    <x v="614"/>
    <x v="231"/>
    <x v="0"/>
    <x v="0"/>
    <x v="4"/>
  </r>
  <r>
    <x v="889"/>
    <x v="1"/>
    <x v="1"/>
    <x v="889"/>
    <x v="0"/>
    <x v="2"/>
    <x v="1"/>
    <x v="0"/>
    <x v="679"/>
    <x v="209"/>
    <x v="147"/>
    <x v="1"/>
    <x v="2"/>
  </r>
  <r>
    <x v="890"/>
    <x v="0"/>
    <x v="0"/>
    <x v="890"/>
    <x v="0"/>
    <x v="35"/>
    <x v="1"/>
    <x v="0"/>
    <x v="680"/>
    <x v="28"/>
    <x v="0"/>
    <x v="2"/>
    <x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D7" firstHeaderRow="1" firstDataRow="2" firstDataCol="1"/>
  <pivotFields count="13">
    <pivotField dataField="1" compact="0" showAll="0">
      <items count="8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t="default"/>
      </items>
    </pivotField>
    <pivotField axis="axisCol" compact="0" showAll="0">
      <items count="3">
        <item x="0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892">
        <item x="845"/>
        <item x="746"/>
        <item x="279"/>
        <item x="308"/>
        <item x="874"/>
        <item x="365"/>
        <item x="401"/>
        <item x="40"/>
        <item x="855"/>
        <item x="207"/>
        <item x="810"/>
        <item x="840"/>
        <item x="210"/>
        <item x="784"/>
        <item x="730"/>
        <item x="4"/>
        <item x="305"/>
        <item x="297"/>
        <item x="498"/>
        <item x="834"/>
        <item x="192"/>
        <item x="460"/>
        <item x="850"/>
        <item x="813"/>
        <item x="119"/>
        <item x="68"/>
        <item x="541"/>
        <item x="542"/>
        <item x="13"/>
        <item x="146"/>
        <item x="610"/>
        <item x="91"/>
        <item x="144"/>
        <item x="275"/>
        <item x="806"/>
        <item x="518"/>
        <item x="571"/>
        <item x="353"/>
        <item x="49"/>
        <item x="493"/>
        <item x="363"/>
        <item x="182"/>
        <item x="261"/>
        <item x="233"/>
        <item x="25"/>
        <item x="700"/>
        <item x="114"/>
        <item x="244"/>
        <item x="369"/>
        <item x="833"/>
        <item x="780"/>
        <item x="206"/>
        <item x="85"/>
        <item x="644"/>
        <item x="469"/>
        <item x="448"/>
        <item x="858"/>
        <item x="661"/>
        <item x="757"/>
        <item x="870"/>
        <item x="327"/>
        <item x="883"/>
        <item x="762"/>
        <item x="702"/>
        <item x="362"/>
        <item x="290"/>
        <item x="630"/>
        <item x="112"/>
        <item x="150"/>
        <item x="168"/>
        <item x="118"/>
        <item x="299"/>
        <item x="218"/>
        <item x="543"/>
        <item x="546"/>
        <item x="372"/>
        <item x="183"/>
        <item x="618"/>
        <item x="248"/>
        <item x="871"/>
        <item x="21"/>
        <item x="889"/>
        <item x="162"/>
        <item x="225"/>
        <item x="733"/>
        <item x="378"/>
        <item x="380"/>
        <item x="74"/>
        <item x="408"/>
        <item x="484"/>
        <item x="291"/>
        <item x="269"/>
        <item x="430"/>
        <item x="339"/>
        <item x="209"/>
        <item x="11"/>
        <item x="628"/>
        <item x="852"/>
        <item x="598"/>
        <item x="140"/>
        <item x="593"/>
        <item x="188"/>
        <item x="657"/>
        <item x="624"/>
        <item x="356"/>
        <item x="221"/>
        <item x="507"/>
        <item x="477"/>
        <item x="0"/>
        <item x="766"/>
        <item x="614"/>
        <item x="345"/>
        <item x="684"/>
        <item x="194"/>
        <item x="670"/>
        <item x="728"/>
        <item x="143"/>
        <item x="337"/>
        <item x="387"/>
        <item x="666"/>
        <item x="536"/>
        <item x="149"/>
        <item x="865"/>
        <item x="534"/>
        <item x="471"/>
        <item x="270"/>
        <item x="707"/>
        <item x="78"/>
        <item x="323"/>
        <item x="163"/>
        <item x="500"/>
        <item x="211"/>
        <item x="466"/>
        <item x="501"/>
        <item x="37"/>
        <item x="578"/>
        <item x="191"/>
        <item x="679"/>
        <item x="756"/>
        <item x="872"/>
        <item x="208"/>
        <item x="83"/>
        <item x="802"/>
        <item x="435"/>
        <item x="390"/>
        <item x="854"/>
        <item x="763"/>
        <item x="249"/>
        <item x="741"/>
        <item x="89"/>
        <item x="92"/>
        <item x="724"/>
        <item x="809"/>
        <item x="695"/>
        <item x="594"/>
        <item x="421"/>
        <item x="257"/>
        <item x="166"/>
        <item x="838"/>
        <item x="90"/>
        <item x="580"/>
        <item x="73"/>
        <item x="426"/>
        <item x="708"/>
        <item x="475"/>
        <item x="131"/>
        <item x="204"/>
        <item x="663"/>
        <item x="514"/>
        <item x="242"/>
        <item x="342"/>
        <item x="662"/>
        <item x="237"/>
        <item x="637"/>
        <item x="801"/>
        <item x="835"/>
        <item x="749"/>
        <item x="289"/>
        <item x="116"/>
        <item x="668"/>
        <item x="646"/>
        <item x="157"/>
        <item x="489"/>
        <item x="348"/>
        <item x="94"/>
        <item x="67"/>
        <item x="160"/>
        <item x="745"/>
        <item x="540"/>
        <item x="844"/>
        <item x="1"/>
        <item x="413"/>
        <item x="338"/>
        <item x="882"/>
        <item x="687"/>
        <item x="510"/>
        <item x="857"/>
        <item x="616"/>
        <item x="423"/>
        <item x="607"/>
        <item x="321"/>
        <item x="794"/>
        <item x="671"/>
        <item x="549"/>
        <item x="565"/>
        <item x="385"/>
        <item x="635"/>
        <item x="347"/>
        <item x="559"/>
        <item x="286"/>
        <item x="282"/>
        <item x="788"/>
        <item x="93"/>
        <item x="361"/>
        <item x="335"/>
        <item x="320"/>
        <item x="44"/>
        <item x="690"/>
        <item x="781"/>
        <item x="349"/>
        <item x="445"/>
        <item x="568"/>
        <item x="651"/>
        <item x="98"/>
        <item x="890"/>
        <item x="283"/>
        <item x="544"/>
        <item x="79"/>
        <item x="582"/>
        <item x="130"/>
        <item x="416"/>
        <item x="280"/>
        <item x="556"/>
        <item x="599"/>
        <item x="866"/>
        <item x="675"/>
        <item x="658"/>
        <item x="764"/>
        <item x="129"/>
        <item x="773"/>
        <item x="532"/>
        <item x="352"/>
        <item x="592"/>
        <item x="777"/>
        <item x="26"/>
        <item x="716"/>
        <item x="496"/>
        <item x="228"/>
        <item x="525"/>
        <item x="527"/>
        <item x="53"/>
        <item x="688"/>
        <item x="306"/>
        <item x="428"/>
        <item x="825"/>
        <item x="572"/>
        <item x="643"/>
        <item x="436"/>
        <item x="147"/>
        <item x="86"/>
        <item x="736"/>
        <item x="452"/>
        <item x="341"/>
        <item x="88"/>
        <item x="27"/>
        <item x="438"/>
        <item x="344"/>
        <item x="309"/>
        <item x="660"/>
        <item x="334"/>
        <item x="539"/>
        <item x="587"/>
        <item x="481"/>
        <item x="815"/>
        <item x="357"/>
        <item x="137"/>
        <item x="3"/>
        <item x="20"/>
        <item x="405"/>
        <item x="703"/>
        <item x="760"/>
        <item x="576"/>
        <item x="791"/>
        <item x="619"/>
        <item x="462"/>
        <item x="420"/>
        <item x="139"/>
        <item x="861"/>
        <item x="588"/>
        <item x="864"/>
        <item x="722"/>
        <item x="156"/>
        <item x="213"/>
        <item x="32"/>
        <item x="453"/>
        <item x="849"/>
        <item x="96"/>
        <item x="165"/>
        <item x="548"/>
        <item x="328"/>
        <item x="465"/>
        <item x="480"/>
        <item x="386"/>
        <item x="59"/>
        <item x="71"/>
        <item x="683"/>
        <item x="678"/>
        <item x="887"/>
        <item x="332"/>
        <item x="268"/>
        <item x="222"/>
        <item x="714"/>
        <item x="97"/>
        <item x="769"/>
        <item x="789"/>
        <item x="876"/>
        <item x="104"/>
        <item x="392"/>
        <item x="379"/>
        <item x="293"/>
        <item x="451"/>
        <item x="490"/>
        <item x="403"/>
        <item x="142"/>
        <item x="178"/>
        <item x="755"/>
        <item x="247"/>
        <item x="441"/>
        <item x="296"/>
        <item x="860"/>
        <item x="704"/>
        <item x="623"/>
        <item x="370"/>
        <item x="235"/>
        <item x="785"/>
        <item x="720"/>
        <item x="645"/>
        <item x="52"/>
        <item x="848"/>
        <item x="602"/>
        <item x="570"/>
        <item x="62"/>
        <item x="219"/>
        <item x="230"/>
        <item x="263"/>
        <item x="535"/>
        <item x="314"/>
        <item x="411"/>
        <item x="440"/>
        <item x="681"/>
        <item x="731"/>
        <item x="740"/>
        <item x="310"/>
        <item x="820"/>
        <item x="274"/>
        <item x="804"/>
        <item x="654"/>
        <item x="2"/>
        <item x="816"/>
        <item x="313"/>
        <item x="264"/>
        <item x="615"/>
        <item x="754"/>
        <item x="15"/>
        <item x="655"/>
        <item x="665"/>
        <item x="120"/>
        <item x="329"/>
        <item x="523"/>
        <item x="479"/>
        <item x="529"/>
        <item x="774"/>
        <item x="723"/>
        <item x="765"/>
        <item x="236"/>
        <item x="818"/>
        <item x="35"/>
        <item x="383"/>
        <item x="604"/>
        <item x="216"/>
        <item x="72"/>
        <item x="613"/>
        <item x="288"/>
        <item x="224"/>
        <item x="793"/>
        <item x="486"/>
        <item x="699"/>
        <item x="239"/>
        <item x="798"/>
        <item x="61"/>
        <item x="84"/>
        <item x="729"/>
        <item x="177"/>
        <item x="738"/>
        <item x="217"/>
        <item x="600"/>
        <item x="455"/>
        <item x="391"/>
        <item x="611"/>
        <item x="586"/>
        <item x="70"/>
        <item x="640"/>
        <item x="771"/>
        <item x="721"/>
        <item x="368"/>
        <item x="473"/>
        <item x="444"/>
        <item x="202"/>
        <item x="395"/>
        <item x="103"/>
        <item x="805"/>
        <item x="869"/>
        <item x="172"/>
        <item x="597"/>
        <item x="719"/>
        <item x="302"/>
        <item x="8"/>
        <item x="888"/>
        <item x="783"/>
        <item x="753"/>
        <item x="569"/>
        <item x="113"/>
        <item x="402"/>
        <item x="579"/>
        <item x="433"/>
        <item x="652"/>
        <item x="99"/>
        <item x="316"/>
        <item x="606"/>
        <item x="478"/>
        <item x="691"/>
        <item x="524"/>
        <item x="303"/>
        <item x="790"/>
        <item x="470"/>
        <item x="300"/>
        <item x="573"/>
        <item x="696"/>
        <item x="706"/>
        <item x="487"/>
        <item x="457"/>
        <item x="214"/>
        <item x="778"/>
        <item x="621"/>
        <item x="69"/>
        <item x="184"/>
        <item x="626"/>
        <item x="711"/>
        <item x="175"/>
        <item x="732"/>
        <item x="42"/>
        <item x="439"/>
        <item x="522"/>
        <item x="312"/>
        <item x="503"/>
        <item x="878"/>
        <item x="692"/>
        <item x="826"/>
        <item x="376"/>
        <item x="509"/>
        <item x="43"/>
        <item x="685"/>
        <item x="608"/>
        <item x="713"/>
        <item x="231"/>
        <item x="796"/>
        <item x="553"/>
        <item x="176"/>
        <item x="409"/>
        <item x="485"/>
        <item x="229"/>
        <item x="389"/>
        <item x="636"/>
        <item x="596"/>
        <item x="843"/>
        <item x="516"/>
        <item x="46"/>
        <item x="179"/>
        <item x="537"/>
        <item x="811"/>
        <item x="737"/>
        <item x="292"/>
        <item x="295"/>
        <item x="234"/>
        <item x="770"/>
        <item x="246"/>
        <item x="276"/>
        <item x="605"/>
        <item x="664"/>
        <item x="853"/>
        <item x="169"/>
        <item x="253"/>
        <item x="617"/>
        <item x="782"/>
        <item x="627"/>
        <item x="432"/>
        <item x="227"/>
        <item x="821"/>
        <item x="631"/>
        <item x="195"/>
        <item x="772"/>
        <item x="198"/>
        <item x="689"/>
        <item x="127"/>
        <item x="243"/>
        <item x="504"/>
        <item x="464"/>
        <item x="827"/>
        <item x="817"/>
        <item x="36"/>
        <item x="767"/>
        <item x="727"/>
        <item x="839"/>
        <item x="847"/>
        <item x="881"/>
        <item x="748"/>
        <item x="19"/>
        <item x="418"/>
        <item x="710"/>
        <item x="6"/>
        <item x="828"/>
        <item x="330"/>
        <item x="301"/>
        <item x="82"/>
        <item x="718"/>
        <item x="512"/>
        <item x="358"/>
        <item x="22"/>
        <item x="397"/>
        <item x="126"/>
        <item x="743"/>
        <item x="564"/>
        <item x="415"/>
        <item x="446"/>
        <item x="272"/>
        <item x="226"/>
        <item x="152"/>
        <item x="196"/>
        <item x="808"/>
        <item x="34"/>
        <item x="375"/>
        <item x="456"/>
        <item x="463"/>
        <item x="245"/>
        <item x="412"/>
        <item x="294"/>
        <item x="105"/>
        <item x="672"/>
        <item x="650"/>
        <item x="359"/>
        <item x="75"/>
        <item x="492"/>
        <item x="886"/>
        <item x="751"/>
        <item x="823"/>
        <item x="121"/>
        <item x="109"/>
        <item x="768"/>
        <item x="5"/>
        <item x="317"/>
        <item x="705"/>
        <item x="461"/>
        <item x="560"/>
        <item x="107"/>
        <item x="65"/>
        <item x="709"/>
        <item x="367"/>
        <item x="77"/>
        <item x="841"/>
        <item x="697"/>
        <item x="589"/>
        <item x="241"/>
        <item x="612"/>
        <item x="775"/>
        <item x="287"/>
        <item x="875"/>
        <item x="381"/>
        <item x="622"/>
        <item x="739"/>
        <item x="122"/>
        <item x="9"/>
        <item x="273"/>
        <item x="340"/>
        <item x="193"/>
        <item x="148"/>
        <item x="223"/>
        <item x="215"/>
        <item x="393"/>
        <item x="659"/>
        <item x="136"/>
        <item x="145"/>
        <item x="545"/>
        <item x="125"/>
        <item x="39"/>
        <item x="315"/>
        <item x="761"/>
        <item x="400"/>
        <item x="562"/>
        <item x="51"/>
        <item x="57"/>
        <item x="66"/>
        <item x="141"/>
        <item x="326"/>
        <item x="364"/>
        <item x="552"/>
        <item x="186"/>
        <item x="629"/>
        <item x="459"/>
        <item x="350"/>
        <item x="47"/>
        <item x="28"/>
        <item x="554"/>
        <item x="653"/>
        <item x="508"/>
        <item x="197"/>
        <item x="154"/>
        <item x="396"/>
        <item x="281"/>
        <item x="682"/>
        <item x="404"/>
        <item x="725"/>
        <item x="138"/>
        <item x="797"/>
        <item x="54"/>
        <item x="502"/>
        <item x="795"/>
        <item x="547"/>
        <item x="398"/>
        <item x="7"/>
        <item x="374"/>
        <item x="24"/>
        <item x="567"/>
        <item x="164"/>
        <item x="50"/>
        <item x="824"/>
        <item x="266"/>
        <item x="686"/>
        <item x="638"/>
        <item x="277"/>
        <item x="633"/>
        <item x="259"/>
        <item x="331"/>
        <item x="836"/>
        <item x="575"/>
        <item x="584"/>
        <item x="519"/>
        <item x="336"/>
        <item x="151"/>
        <item x="454"/>
        <item x="115"/>
        <item x="505"/>
        <item x="307"/>
        <item x="238"/>
        <item x="212"/>
        <item x="181"/>
        <item x="520"/>
        <item x="267"/>
        <item x="128"/>
        <item x="533"/>
        <item x="680"/>
        <item x="100"/>
        <item x="877"/>
        <item x="101"/>
        <item x="442"/>
        <item x="807"/>
        <item x="449"/>
        <item x="427"/>
        <item x="429"/>
        <item x="190"/>
        <item x="384"/>
        <item x="800"/>
        <item x="110"/>
        <item x="879"/>
        <item x="530"/>
        <item x="506"/>
        <item x="656"/>
        <item x="859"/>
        <item x="250"/>
        <item x="265"/>
        <item x="108"/>
        <item x="476"/>
        <item x="726"/>
        <item x="822"/>
        <item x="443"/>
        <item x="171"/>
        <item x="278"/>
        <item x="16"/>
        <item x="787"/>
        <item x="885"/>
        <item x="135"/>
        <item x="831"/>
        <item x="407"/>
        <item x="437"/>
        <item x="526"/>
        <item x="373"/>
        <item x="590"/>
        <item x="538"/>
        <item x="557"/>
        <item x="779"/>
        <item x="132"/>
        <item x="867"/>
        <item x="45"/>
        <item x="187"/>
        <item x="667"/>
        <item x="185"/>
        <item x="424"/>
        <item x="254"/>
        <item x="583"/>
        <item x="759"/>
        <item x="513"/>
        <item x="482"/>
        <item x="56"/>
        <item x="574"/>
        <item x="517"/>
        <item x="311"/>
        <item x="742"/>
        <item x="832"/>
        <item x="693"/>
        <item x="298"/>
        <item x="388"/>
        <item x="159"/>
        <item x="180"/>
        <item x="863"/>
        <item x="792"/>
        <item x="846"/>
        <item x="201"/>
        <item x="324"/>
        <item x="641"/>
        <item x="106"/>
        <item x="528"/>
        <item x="48"/>
        <item x="10"/>
        <item x="394"/>
        <item x="12"/>
        <item x="676"/>
        <item x="468"/>
        <item x="410"/>
        <item x="343"/>
        <item x="842"/>
        <item x="447"/>
        <item x="551"/>
        <item x="81"/>
        <item x="497"/>
        <item x="880"/>
        <item x="95"/>
        <item x="609"/>
        <item x="417"/>
        <item x="701"/>
        <item x="434"/>
        <item x="577"/>
        <item x="563"/>
        <item x="647"/>
        <item x="747"/>
        <item x="60"/>
        <item x="837"/>
        <item x="561"/>
        <item x="173"/>
        <item x="786"/>
        <item x="232"/>
        <item x="63"/>
        <item x="819"/>
        <item x="634"/>
        <item x="642"/>
        <item x="360"/>
        <item x="167"/>
        <item x="601"/>
        <item x="322"/>
        <item x="812"/>
        <item x="87"/>
        <item x="23"/>
        <item x="467"/>
        <item x="158"/>
        <item x="346"/>
        <item x="174"/>
        <item x="284"/>
        <item x="260"/>
        <item x="134"/>
        <item x="715"/>
        <item x="488"/>
        <item x="319"/>
        <item x="31"/>
        <item x="632"/>
        <item x="76"/>
        <item x="285"/>
        <item x="649"/>
        <item x="494"/>
        <item x="252"/>
        <item x="591"/>
        <item x="64"/>
        <item x="829"/>
        <item x="566"/>
        <item x="474"/>
        <item x="744"/>
        <item x="205"/>
        <item x="251"/>
        <item x="220"/>
        <item x="414"/>
        <item x="884"/>
        <item x="625"/>
        <item x="851"/>
        <item x="499"/>
        <item x="862"/>
        <item x="585"/>
        <item x="262"/>
        <item x="558"/>
        <item x="712"/>
        <item x="669"/>
        <item x="698"/>
        <item x="550"/>
        <item x="581"/>
        <item x="758"/>
        <item x="803"/>
        <item x="256"/>
        <item x="639"/>
        <item x="431"/>
        <item x="382"/>
        <item x="776"/>
        <item x="29"/>
        <item x="814"/>
        <item x="458"/>
        <item x="603"/>
        <item x="271"/>
        <item x="531"/>
        <item x="255"/>
        <item x="734"/>
        <item x="399"/>
        <item x="717"/>
        <item x="189"/>
        <item x="677"/>
        <item x="483"/>
        <item x="117"/>
        <item x="41"/>
        <item x="30"/>
        <item x="153"/>
        <item x="170"/>
        <item x="419"/>
        <item x="595"/>
        <item x="799"/>
        <item x="868"/>
        <item x="752"/>
        <item x="200"/>
        <item x="355"/>
        <item x="873"/>
        <item x="38"/>
        <item x="333"/>
        <item x="18"/>
        <item x="14"/>
        <item x="521"/>
        <item x="80"/>
        <item x="515"/>
        <item x="258"/>
        <item x="366"/>
        <item x="674"/>
        <item x="161"/>
        <item x="123"/>
        <item x="511"/>
        <item x="694"/>
        <item x="133"/>
        <item x="750"/>
        <item x="58"/>
        <item x="450"/>
        <item x="472"/>
        <item x="33"/>
        <item x="124"/>
        <item x="102"/>
        <item x="318"/>
        <item x="856"/>
        <item x="406"/>
        <item x="377"/>
        <item x="371"/>
        <item x="673"/>
        <item x="648"/>
        <item x="155"/>
        <item x="17"/>
        <item x="304"/>
        <item x="735"/>
        <item x="351"/>
        <item x="491"/>
        <item x="425"/>
        <item x="55"/>
        <item x="555"/>
        <item x="620"/>
        <item x="830"/>
        <item x="325"/>
        <item x="203"/>
        <item x="354"/>
        <item x="495"/>
        <item x="199"/>
        <item x="111"/>
        <item x="240"/>
        <item x="422"/>
        <item t="default"/>
      </items>
    </pivotField>
    <pivotField axis="axisRow" compact="0" showAll="0">
      <items count="3">
        <item x="1"/>
        <item x="0"/>
        <item t="default"/>
      </items>
    </pivotField>
    <pivotField compact="0" showAll="0">
      <items count="90">
        <item x="86"/>
        <item x="84"/>
        <item x="77"/>
        <item x="38"/>
        <item x="70"/>
        <item x="58"/>
        <item x="6"/>
        <item x="25"/>
        <item x="9"/>
        <item x="31"/>
        <item x="83"/>
        <item x="26"/>
        <item x="18"/>
        <item x="52"/>
        <item x="73"/>
        <item x="32"/>
        <item x="51"/>
        <item x="75"/>
        <item x="8"/>
        <item x="48"/>
        <item x="16"/>
        <item x="36"/>
        <item x="34"/>
        <item x="24"/>
        <item x="19"/>
        <item x="11"/>
        <item x="64"/>
        <item x="23"/>
        <item x="0"/>
        <item x="41"/>
        <item x="69"/>
        <item x="42"/>
        <item x="82"/>
        <item x="37"/>
        <item x="2"/>
        <item x="7"/>
        <item x="17"/>
        <item x="30"/>
        <item x="28"/>
        <item x="39"/>
        <item x="85"/>
        <item x="14"/>
        <item x="35"/>
        <item x="50"/>
        <item x="40"/>
        <item x="15"/>
        <item x="87"/>
        <item x="3"/>
        <item x="62"/>
        <item x="53"/>
        <item x="46"/>
        <item x="1"/>
        <item x="12"/>
        <item x="20"/>
        <item x="56"/>
        <item x="66"/>
        <item x="22"/>
        <item x="71"/>
        <item x="57"/>
        <item x="33"/>
        <item x="63"/>
        <item x="43"/>
        <item x="47"/>
        <item x="76"/>
        <item x="27"/>
        <item x="61"/>
        <item x="54"/>
        <item x="67"/>
        <item x="78"/>
        <item x="5"/>
        <item x="13"/>
        <item x="55"/>
        <item x="60"/>
        <item x="79"/>
        <item x="10"/>
        <item x="44"/>
        <item x="72"/>
        <item x="59"/>
        <item x="65"/>
        <item x="68"/>
        <item x="74"/>
        <item x="29"/>
        <item x="21"/>
        <item x="81"/>
        <item x="49"/>
        <item x="45"/>
        <item x="88"/>
        <item x="80"/>
        <item x="4"/>
        <item t="default"/>
      </items>
    </pivotField>
    <pivotField compact="0" showAll="0">
      <items count="8">
        <item x="1"/>
        <item x="0"/>
        <item x="4"/>
        <item x="2"/>
        <item x="3"/>
        <item x="5"/>
        <item x="6"/>
        <item t="default"/>
      </items>
    </pivotField>
    <pivotField compact="0" showAll="0">
      <items count="8">
        <item x="0"/>
        <item x="1"/>
        <item x="2"/>
        <item x="4"/>
        <item x="5"/>
        <item x="3"/>
        <item x="6"/>
        <item t="default"/>
      </items>
    </pivotField>
    <pivotField compact="0" showAll="0">
      <items count="682">
        <item x="453"/>
        <item x="668"/>
        <item x="72"/>
        <item x="363"/>
        <item x="644"/>
        <item x="457"/>
        <item x="530"/>
        <item x="437"/>
        <item x="625"/>
        <item x="317"/>
        <item x="111"/>
        <item x="182"/>
        <item x="658"/>
        <item x="25"/>
        <item x="444"/>
        <item x="307"/>
        <item x="325"/>
        <item x="19"/>
        <item x="228"/>
        <item x="38"/>
        <item x="328"/>
        <item x="505"/>
        <item x="64"/>
        <item x="47"/>
        <item x="599"/>
        <item x="492"/>
        <item x="108"/>
        <item x="379"/>
        <item x="670"/>
        <item x="119"/>
        <item x="59"/>
        <item x="642"/>
        <item x="553"/>
        <item x="607"/>
        <item x="35"/>
        <item x="130"/>
        <item x="71"/>
        <item x="650"/>
        <item x="624"/>
        <item x="469"/>
        <item x="612"/>
        <item x="478"/>
        <item x="445"/>
        <item x="313"/>
        <item x="265"/>
        <item x="218"/>
        <item x="306"/>
        <item x="56"/>
        <item x="185"/>
        <item x="438"/>
        <item x="452"/>
        <item x="52"/>
        <item x="482"/>
        <item x="403"/>
        <item x="631"/>
        <item x="160"/>
        <item x="408"/>
        <item x="422"/>
        <item x="110"/>
        <item x="344"/>
        <item x="545"/>
        <item x="177"/>
        <item x="531"/>
        <item x="547"/>
        <item x="304"/>
        <item x="128"/>
        <item x="100"/>
        <item x="566"/>
        <item x="39"/>
        <item x="674"/>
        <item x="401"/>
        <item x="294"/>
        <item x="603"/>
        <item x="525"/>
        <item x="268"/>
        <item x="40"/>
        <item x="222"/>
        <item x="127"/>
        <item x="506"/>
        <item x="460"/>
        <item x="320"/>
        <item x="276"/>
        <item x="472"/>
        <item x="409"/>
        <item x="648"/>
        <item x="196"/>
        <item x="260"/>
        <item x="573"/>
        <item x="618"/>
        <item x="435"/>
        <item x="481"/>
        <item x="521"/>
        <item x="515"/>
        <item x="245"/>
        <item x="371"/>
        <item x="386"/>
        <item x="484"/>
        <item x="450"/>
        <item x="46"/>
        <item x="474"/>
        <item x="318"/>
        <item x="485"/>
        <item x="284"/>
        <item x="585"/>
        <item x="272"/>
        <item x="383"/>
        <item x="6"/>
        <item x="387"/>
        <item x="622"/>
        <item x="661"/>
        <item x="551"/>
        <item x="158"/>
        <item x="259"/>
        <item x="219"/>
        <item x="202"/>
        <item x="54"/>
        <item x="26"/>
        <item x="390"/>
        <item x="639"/>
        <item x="267"/>
        <item x="537"/>
        <item x="200"/>
        <item x="550"/>
        <item x="423"/>
        <item x="211"/>
        <item x="513"/>
        <item x="116"/>
        <item x="331"/>
        <item x="660"/>
        <item x="632"/>
        <item x="621"/>
        <item x="354"/>
        <item x="356"/>
        <item x="339"/>
        <item x="173"/>
        <item x="581"/>
        <item x="289"/>
        <item x="346"/>
        <item x="213"/>
        <item x="282"/>
        <item x="591"/>
        <item x="443"/>
        <item x="608"/>
        <item x="348"/>
        <item x="596"/>
        <item x="538"/>
        <item x="529"/>
        <item x="402"/>
        <item x="504"/>
        <item x="300"/>
        <item x="377"/>
        <item x="569"/>
        <item x="193"/>
        <item x="99"/>
        <item x="145"/>
        <item x="557"/>
        <item x="397"/>
        <item x="570"/>
        <item x="560"/>
        <item x="611"/>
        <item x="577"/>
        <item x="283"/>
        <item x="416"/>
        <item x="509"/>
        <item x="431"/>
        <item x="61"/>
        <item x="508"/>
        <item x="381"/>
        <item x="411"/>
        <item x="376"/>
        <item x="230"/>
        <item x="234"/>
        <item x="107"/>
        <item x="367"/>
        <item x="316"/>
        <item x="156"/>
        <item x="392"/>
        <item x="290"/>
        <item x="679"/>
        <item x="496"/>
        <item x="424"/>
        <item x="169"/>
        <item x="628"/>
        <item x="516"/>
        <item x="678"/>
        <item x="634"/>
        <item x="235"/>
        <item x="187"/>
        <item x="601"/>
        <item x="565"/>
        <item x="291"/>
        <item x="447"/>
        <item x="382"/>
        <item x="657"/>
        <item x="253"/>
        <item x="81"/>
        <item x="613"/>
        <item x="324"/>
        <item x="154"/>
        <item x="53"/>
        <item x="305"/>
        <item x="225"/>
        <item x="60"/>
        <item x="334"/>
        <item x="167"/>
        <item x="589"/>
        <item x="140"/>
        <item x="266"/>
        <item x="11"/>
        <item x="295"/>
        <item x="380"/>
        <item x="413"/>
        <item x="23"/>
        <item x="34"/>
        <item x="396"/>
        <item x="378"/>
        <item x="494"/>
        <item x="241"/>
        <item x="554"/>
        <item x="3"/>
        <item x="499"/>
        <item x="575"/>
        <item x="459"/>
        <item x="677"/>
        <item x="464"/>
        <item x="510"/>
        <item x="199"/>
        <item x="503"/>
        <item x="562"/>
        <item x="270"/>
        <item x="433"/>
        <item x="124"/>
        <item x="298"/>
        <item x="137"/>
        <item x="165"/>
        <item x="232"/>
        <item x="375"/>
        <item x="95"/>
        <item x="134"/>
        <item x="582"/>
        <item x="662"/>
        <item x="393"/>
        <item x="172"/>
        <item x="534"/>
        <item x="287"/>
        <item x="206"/>
        <item x="663"/>
        <item x="578"/>
        <item x="208"/>
        <item x="483"/>
        <item x="517"/>
        <item x="309"/>
        <item x="9"/>
        <item x="480"/>
        <item x="257"/>
        <item x="247"/>
        <item x="406"/>
        <item x="580"/>
        <item x="542"/>
        <item x="20"/>
        <item x="341"/>
        <item x="195"/>
        <item x="477"/>
        <item x="223"/>
        <item x="541"/>
        <item x="340"/>
        <item x="138"/>
        <item x="455"/>
        <item x="297"/>
        <item x="96"/>
        <item x="17"/>
        <item x="21"/>
        <item x="15"/>
        <item x="630"/>
        <item x="491"/>
        <item x="555"/>
        <item x="299"/>
        <item x="76"/>
        <item x="296"/>
        <item x="179"/>
        <item x="574"/>
        <item x="242"/>
        <item x="191"/>
        <item x="567"/>
        <item x="588"/>
        <item x="221"/>
        <item x="278"/>
        <item x="355"/>
        <item x="162"/>
        <item x="364"/>
        <item x="104"/>
        <item x="349"/>
        <item x="535"/>
        <item x="147"/>
        <item x="360"/>
        <item x="446"/>
        <item x="419"/>
        <item x="303"/>
        <item x="399"/>
        <item x="651"/>
        <item x="152"/>
        <item x="576"/>
        <item x="345"/>
        <item x="646"/>
        <item x="638"/>
        <item x="68"/>
        <item x="166"/>
        <item x="398"/>
        <item x="322"/>
        <item x="109"/>
        <item x="5"/>
        <item x="421"/>
        <item x="526"/>
        <item x="22"/>
        <item x="310"/>
        <item x="80"/>
        <item x="546"/>
        <item x="43"/>
        <item x="27"/>
        <item x="456"/>
        <item x="311"/>
        <item x="512"/>
        <item x="590"/>
        <item x="31"/>
        <item x="249"/>
        <item x="343"/>
        <item x="544"/>
        <item x="353"/>
        <item x="103"/>
        <item x="86"/>
        <item x="87"/>
        <item x="288"/>
        <item x="461"/>
        <item x="18"/>
        <item x="37"/>
        <item x="669"/>
        <item x="78"/>
        <item x="373"/>
        <item x="180"/>
        <item x="357"/>
        <item x="255"/>
        <item x="666"/>
        <item x="251"/>
        <item x="79"/>
        <item x="593"/>
        <item x="604"/>
        <item x="308"/>
        <item x="184"/>
        <item x="654"/>
        <item x="120"/>
        <item x="571"/>
        <item x="627"/>
        <item x="347"/>
        <item x="207"/>
        <item x="151"/>
        <item x="326"/>
        <item x="220"/>
        <item x="246"/>
        <item x="600"/>
        <item x="374"/>
        <item x="24"/>
        <item x="609"/>
        <item x="361"/>
        <item x="131"/>
        <item x="13"/>
        <item x="238"/>
        <item x="458"/>
        <item x="629"/>
        <item x="62"/>
        <item x="626"/>
        <item x="250"/>
        <item x="88"/>
        <item x="643"/>
        <item x="281"/>
        <item x="8"/>
        <item x="514"/>
        <item x="558"/>
        <item x="73"/>
        <item x="568"/>
        <item x="583"/>
        <item x="620"/>
        <item x="594"/>
        <item x="468"/>
        <item x="256"/>
        <item x="102"/>
        <item x="74"/>
        <item x="430"/>
        <item x="532"/>
        <item x="671"/>
        <item x="653"/>
        <item x="493"/>
        <item x="98"/>
        <item x="28"/>
        <item x="672"/>
        <item x="584"/>
        <item x="286"/>
        <item x="524"/>
        <item x="350"/>
        <item x="528"/>
        <item x="511"/>
        <item x="293"/>
        <item x="330"/>
        <item x="548"/>
        <item x="520"/>
        <item x="263"/>
        <item x="201"/>
        <item x="262"/>
        <item x="48"/>
        <item x="254"/>
        <item x="385"/>
        <item x="121"/>
        <item x="434"/>
        <item x="279"/>
        <item x="623"/>
        <item x="97"/>
        <item x="498"/>
        <item x="171"/>
        <item x="667"/>
        <item x="105"/>
        <item x="463"/>
        <item x="436"/>
        <item x="41"/>
        <item x="358"/>
        <item x="552"/>
        <item x="673"/>
        <item x="7"/>
        <item x="497"/>
        <item x="543"/>
        <item x="561"/>
        <item x="659"/>
        <item x="507"/>
        <item x="335"/>
        <item x="418"/>
        <item x="549"/>
        <item x="595"/>
        <item x="136"/>
        <item x="174"/>
        <item x="605"/>
        <item x="572"/>
        <item x="519"/>
        <item x="337"/>
        <item x="404"/>
        <item x="159"/>
        <item x="14"/>
        <item x="338"/>
        <item x="470"/>
        <item x="476"/>
        <item x="224"/>
        <item x="153"/>
        <item x="597"/>
        <item x="556"/>
        <item x="449"/>
        <item x="633"/>
        <item x="91"/>
        <item x="391"/>
        <item x="495"/>
        <item x="502"/>
        <item x="77"/>
        <item x="420"/>
        <item x="489"/>
        <item x="170"/>
        <item x="602"/>
        <item x="365"/>
        <item x="133"/>
        <item x="527"/>
        <item x="269"/>
        <item x="641"/>
        <item x="192"/>
        <item x="215"/>
        <item x="186"/>
        <item x="439"/>
        <item x="332"/>
        <item x="640"/>
        <item x="176"/>
        <item x="227"/>
        <item x="168"/>
        <item x="113"/>
        <item x="178"/>
        <item x="45"/>
        <item x="117"/>
        <item x="258"/>
        <item x="244"/>
        <item x="680"/>
        <item x="501"/>
        <item x="389"/>
        <item x="106"/>
        <item x="149"/>
        <item x="462"/>
        <item x="4"/>
        <item x="75"/>
        <item x="616"/>
        <item x="92"/>
        <item x="368"/>
        <item x="586"/>
        <item x="236"/>
        <item x="426"/>
        <item x="16"/>
        <item x="610"/>
        <item x="233"/>
        <item x="301"/>
        <item x="656"/>
        <item x="647"/>
        <item x="592"/>
        <item x="351"/>
        <item x="181"/>
        <item x="617"/>
        <item x="321"/>
        <item x="101"/>
        <item x="336"/>
        <item x="83"/>
        <item x="67"/>
        <item x="49"/>
        <item x="442"/>
        <item x="405"/>
        <item x="36"/>
        <item x="486"/>
        <item x="141"/>
        <item x="410"/>
        <item x="415"/>
        <item x="467"/>
        <item x="475"/>
        <item x="362"/>
        <item x="50"/>
        <item x="0"/>
        <item x="285"/>
        <item x="205"/>
        <item x="190"/>
        <item x="271"/>
        <item x="384"/>
        <item x="536"/>
        <item x="183"/>
        <item x="407"/>
        <item x="488"/>
        <item x="252"/>
        <item x="359"/>
        <item x="12"/>
        <item x="226"/>
        <item x="123"/>
        <item x="142"/>
        <item x="394"/>
        <item x="115"/>
        <item x="118"/>
        <item x="425"/>
        <item x="637"/>
        <item x="315"/>
        <item x="323"/>
        <item x="237"/>
        <item x="372"/>
        <item x="90"/>
        <item x="32"/>
        <item x="540"/>
        <item x="248"/>
        <item x="125"/>
        <item x="65"/>
        <item x="209"/>
        <item x="55"/>
        <item x="212"/>
        <item x="69"/>
        <item x="135"/>
        <item x="150"/>
        <item x="432"/>
        <item x="57"/>
        <item x="302"/>
        <item x="652"/>
        <item x="417"/>
        <item x="675"/>
        <item x="58"/>
        <item x="523"/>
        <item x="148"/>
        <item x="539"/>
        <item x="189"/>
        <item x="280"/>
        <item x="388"/>
        <item x="143"/>
        <item x="163"/>
        <item x="274"/>
        <item x="155"/>
        <item x="428"/>
        <item x="473"/>
        <item x="559"/>
        <item x="563"/>
        <item x="319"/>
        <item x="564"/>
        <item x="441"/>
        <item x="275"/>
        <item x="114"/>
        <item x="30"/>
        <item x="51"/>
        <item x="239"/>
        <item x="229"/>
        <item x="665"/>
        <item x="655"/>
        <item x="129"/>
        <item x="161"/>
        <item x="243"/>
        <item x="144"/>
        <item x="1"/>
        <item x="619"/>
        <item x="29"/>
        <item x="429"/>
        <item x="33"/>
        <item x="63"/>
        <item x="277"/>
        <item x="414"/>
        <item x="175"/>
        <item x="292"/>
        <item x="264"/>
        <item x="93"/>
        <item x="231"/>
        <item x="645"/>
        <item x="327"/>
        <item x="273"/>
        <item x="94"/>
        <item x="240"/>
        <item x="448"/>
        <item x="203"/>
        <item x="10"/>
        <item x="44"/>
        <item x="636"/>
        <item x="606"/>
        <item x="522"/>
        <item x="70"/>
        <item x="139"/>
        <item x="66"/>
        <item x="471"/>
        <item x="333"/>
        <item x="490"/>
        <item x="369"/>
        <item x="400"/>
        <item x="42"/>
        <item x="164"/>
        <item x="126"/>
        <item x="454"/>
        <item x="664"/>
        <item x="261"/>
        <item x="312"/>
        <item x="214"/>
        <item x="82"/>
        <item x="500"/>
        <item x="395"/>
        <item x="122"/>
        <item x="314"/>
        <item x="188"/>
        <item x="615"/>
        <item x="366"/>
        <item x="466"/>
        <item x="598"/>
        <item x="649"/>
        <item x="427"/>
        <item x="412"/>
        <item x="676"/>
        <item x="465"/>
        <item x="85"/>
        <item x="198"/>
        <item x="146"/>
        <item x="352"/>
        <item x="487"/>
        <item x="370"/>
        <item x="217"/>
        <item x="157"/>
        <item x="533"/>
        <item x="479"/>
        <item x="587"/>
        <item x="342"/>
        <item x="518"/>
        <item x="329"/>
        <item x="112"/>
        <item x="579"/>
        <item x="132"/>
        <item x="2"/>
        <item x="194"/>
        <item x="635"/>
        <item x="204"/>
        <item x="440"/>
        <item x="216"/>
        <item x="614"/>
        <item x="84"/>
        <item x="210"/>
        <item x="89"/>
        <item x="197"/>
        <item x="451"/>
        <item t="default"/>
      </items>
    </pivotField>
    <pivotField compact="0" showAll="0">
      <items count="249">
        <item x="104"/>
        <item x="163"/>
        <item x="245"/>
        <item x="152"/>
        <item x="240"/>
        <item x="237"/>
        <item x="110"/>
        <item x="85"/>
        <item x="171"/>
        <item x="238"/>
        <item x="78"/>
        <item x="185"/>
        <item x="79"/>
        <item x="218"/>
        <item x="123"/>
        <item x="76"/>
        <item x="18"/>
        <item x="32"/>
        <item x="0"/>
        <item x="91"/>
        <item x="196"/>
        <item x="186"/>
        <item x="120"/>
        <item x="192"/>
        <item x="55"/>
        <item x="182"/>
        <item x="166"/>
        <item x="93"/>
        <item x="229"/>
        <item x="227"/>
        <item x="28"/>
        <item x="71"/>
        <item x="60"/>
        <item x="88"/>
        <item x="41"/>
        <item x="204"/>
        <item x="13"/>
        <item x="173"/>
        <item x="24"/>
        <item x="235"/>
        <item x="25"/>
        <item x="2"/>
        <item x="20"/>
        <item x="4"/>
        <item x="176"/>
        <item x="222"/>
        <item x="50"/>
        <item x="239"/>
        <item x="230"/>
        <item x="109"/>
        <item x="219"/>
        <item x="5"/>
        <item x="234"/>
        <item x="70"/>
        <item x="51"/>
        <item x="233"/>
        <item x="211"/>
        <item x="138"/>
        <item x="58"/>
        <item x="83"/>
        <item x="157"/>
        <item x="118"/>
        <item x="34"/>
        <item x="228"/>
        <item x="59"/>
        <item x="188"/>
        <item x="73"/>
        <item x="184"/>
        <item x="221"/>
        <item x="246"/>
        <item x="223"/>
        <item x="111"/>
        <item x="29"/>
        <item x="247"/>
        <item x="8"/>
        <item x="33"/>
        <item x="86"/>
        <item x="167"/>
        <item x="122"/>
        <item x="187"/>
        <item x="142"/>
        <item x="57"/>
        <item x="89"/>
        <item x="169"/>
        <item x="137"/>
        <item x="16"/>
        <item x="226"/>
        <item x="119"/>
        <item x="183"/>
        <item x="243"/>
        <item x="203"/>
        <item x="149"/>
        <item x="242"/>
        <item x="174"/>
        <item x="53"/>
        <item x="74"/>
        <item x="80"/>
        <item x="212"/>
        <item x="81"/>
        <item x="105"/>
        <item x="191"/>
        <item x="49"/>
        <item x="37"/>
        <item x="215"/>
        <item x="165"/>
        <item x="96"/>
        <item x="62"/>
        <item x="156"/>
        <item x="14"/>
        <item x="95"/>
        <item x="10"/>
        <item x="206"/>
        <item x="39"/>
        <item x="17"/>
        <item x="170"/>
        <item x="112"/>
        <item x="178"/>
        <item x="131"/>
        <item x="179"/>
        <item x="125"/>
        <item x="134"/>
        <item x="97"/>
        <item x="65"/>
        <item x="35"/>
        <item x="7"/>
        <item x="38"/>
        <item x="107"/>
        <item x="77"/>
        <item x="193"/>
        <item x="68"/>
        <item x="141"/>
        <item x="231"/>
        <item x="145"/>
        <item x="72"/>
        <item x="102"/>
        <item x="220"/>
        <item x="99"/>
        <item x="232"/>
        <item x="19"/>
        <item x="121"/>
        <item x="82"/>
        <item x="194"/>
        <item x="208"/>
        <item x="11"/>
        <item x="115"/>
        <item x="26"/>
        <item x="44"/>
        <item x="48"/>
        <item x="154"/>
        <item x="103"/>
        <item x="56"/>
        <item x="15"/>
        <item x="132"/>
        <item x="209"/>
        <item x="9"/>
        <item x="140"/>
        <item x="101"/>
        <item x="113"/>
        <item x="12"/>
        <item x="22"/>
        <item x="217"/>
        <item x="172"/>
        <item x="213"/>
        <item x="100"/>
        <item x="197"/>
        <item x="63"/>
        <item x="66"/>
        <item x="158"/>
        <item x="21"/>
        <item x="87"/>
        <item x="236"/>
        <item x="181"/>
        <item x="106"/>
        <item x="241"/>
        <item x="205"/>
        <item x="40"/>
        <item x="210"/>
        <item x="36"/>
        <item x="214"/>
        <item x="45"/>
        <item x="61"/>
        <item x="201"/>
        <item x="189"/>
        <item x="108"/>
        <item x="244"/>
        <item x="207"/>
        <item x="6"/>
        <item x="31"/>
        <item x="124"/>
        <item x="3"/>
        <item x="98"/>
        <item x="161"/>
        <item x="175"/>
        <item x="54"/>
        <item x="146"/>
        <item x="225"/>
        <item x="153"/>
        <item x="195"/>
        <item x="64"/>
        <item x="92"/>
        <item x="43"/>
        <item x="67"/>
        <item x="216"/>
        <item x="90"/>
        <item x="160"/>
        <item x="94"/>
        <item x="202"/>
        <item x="1"/>
        <item x="52"/>
        <item x="159"/>
        <item x="116"/>
        <item x="42"/>
        <item x="69"/>
        <item x="133"/>
        <item x="190"/>
        <item x="135"/>
        <item x="84"/>
        <item x="128"/>
        <item x="46"/>
        <item x="177"/>
        <item x="30"/>
        <item x="147"/>
        <item x="47"/>
        <item x="126"/>
        <item x="180"/>
        <item x="117"/>
        <item x="136"/>
        <item x="198"/>
        <item x="200"/>
        <item x="144"/>
        <item x="143"/>
        <item x="114"/>
        <item x="168"/>
        <item x="155"/>
        <item x="151"/>
        <item x="130"/>
        <item x="27"/>
        <item x="139"/>
        <item x="129"/>
        <item x="150"/>
        <item x="224"/>
        <item x="162"/>
        <item x="199"/>
        <item x="164"/>
        <item x="75"/>
        <item x="148"/>
        <item x="23"/>
        <item x="127"/>
        <item t="default"/>
      </items>
    </pivotField>
    <pivotField compact="0" showAll="0">
      <items count="149">
        <item x="53"/>
        <item x="67"/>
        <item x="101"/>
        <item x="84"/>
        <item x="98"/>
        <item x="51"/>
        <item x="104"/>
        <item x="108"/>
        <item x="144"/>
        <item x="110"/>
        <item x="37"/>
        <item x="34"/>
        <item x="76"/>
        <item x="137"/>
        <item x="18"/>
        <item x="7"/>
        <item x="31"/>
        <item x="125"/>
        <item x="138"/>
        <item x="63"/>
        <item x="30"/>
        <item x="118"/>
        <item x="95"/>
        <item x="13"/>
        <item x="133"/>
        <item x="11"/>
        <item x="70"/>
        <item x="85"/>
        <item x="93"/>
        <item x="94"/>
        <item x="35"/>
        <item x="103"/>
        <item x="146"/>
        <item x="52"/>
        <item x="117"/>
        <item x="109"/>
        <item x="115"/>
        <item x="59"/>
        <item x="22"/>
        <item x="139"/>
        <item x="114"/>
        <item x="91"/>
        <item x="44"/>
        <item x="9"/>
        <item x="88"/>
        <item x="36"/>
        <item x="135"/>
        <item x="26"/>
        <item x="46"/>
        <item x="73"/>
        <item x="99"/>
        <item x="5"/>
        <item x="77"/>
        <item x="55"/>
        <item x="21"/>
        <item x="78"/>
        <item x="49"/>
        <item x="2"/>
        <item x="64"/>
        <item x="47"/>
        <item x="113"/>
        <item x="68"/>
        <item x="147"/>
        <item x="28"/>
        <item x="54"/>
        <item x="8"/>
        <item x="86"/>
        <item x="62"/>
        <item x="123"/>
        <item x="127"/>
        <item x="141"/>
        <item x="32"/>
        <item x="145"/>
        <item x="12"/>
        <item x="58"/>
        <item x="120"/>
        <item x="56"/>
        <item x="100"/>
        <item x="60"/>
        <item x="97"/>
        <item x="41"/>
        <item x="72"/>
        <item x="14"/>
        <item x="1"/>
        <item x="96"/>
        <item x="43"/>
        <item x="122"/>
        <item x="65"/>
        <item x="79"/>
        <item x="40"/>
        <item x="92"/>
        <item x="48"/>
        <item x="19"/>
        <item x="130"/>
        <item x="39"/>
        <item x="136"/>
        <item x="105"/>
        <item x="87"/>
        <item x="81"/>
        <item x="20"/>
        <item x="142"/>
        <item x="128"/>
        <item x="10"/>
        <item x="42"/>
        <item x="38"/>
        <item x="69"/>
        <item x="126"/>
        <item x="90"/>
        <item x="25"/>
        <item x="111"/>
        <item x="116"/>
        <item x="106"/>
        <item x="6"/>
        <item x="134"/>
        <item x="50"/>
        <item x="107"/>
        <item x="74"/>
        <item x="23"/>
        <item x="82"/>
        <item x="129"/>
        <item x="143"/>
        <item x="121"/>
        <item x="89"/>
        <item x="17"/>
        <item x="29"/>
        <item x="61"/>
        <item x="57"/>
        <item x="80"/>
        <item x="66"/>
        <item x="75"/>
        <item x="3"/>
        <item x="140"/>
        <item x="71"/>
        <item x="112"/>
        <item x="83"/>
        <item x="45"/>
        <item x="102"/>
        <item x="131"/>
        <item x="124"/>
        <item x="24"/>
        <item x="119"/>
        <item x="16"/>
        <item x="27"/>
        <item x="15"/>
        <item x="132"/>
        <item x="33"/>
        <item x="4"/>
        <item x="0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90">
        <item x="86"/>
        <item x="84"/>
        <item x="77"/>
        <item x="38"/>
        <item x="70"/>
        <item x="58"/>
        <item x="6"/>
        <item x="25"/>
        <item x="9"/>
        <item x="31"/>
        <item x="83"/>
        <item x="26"/>
        <item x="18"/>
        <item x="52"/>
        <item x="73"/>
        <item x="32"/>
        <item x="51"/>
        <item x="75"/>
        <item x="8"/>
        <item x="48"/>
        <item x="16"/>
        <item x="36"/>
        <item x="34"/>
        <item x="24"/>
        <item x="19"/>
        <item x="11"/>
        <item x="64"/>
        <item x="23"/>
        <item x="0"/>
        <item x="41"/>
        <item x="69"/>
        <item x="42"/>
        <item x="82"/>
        <item x="37"/>
        <item x="2"/>
        <item x="7"/>
        <item x="17"/>
        <item x="30"/>
        <item x="28"/>
        <item x="4"/>
        <item x="39"/>
        <item x="85"/>
        <item x="14"/>
        <item x="35"/>
        <item x="50"/>
        <item x="40"/>
        <item x="15"/>
        <item x="87"/>
        <item x="3"/>
        <item x="62"/>
        <item x="53"/>
        <item x="46"/>
        <item x="1"/>
        <item x="12"/>
        <item x="20"/>
        <item x="56"/>
        <item x="66"/>
        <item x="22"/>
        <item x="71"/>
        <item x="57"/>
        <item x="33"/>
        <item x="63"/>
        <item x="43"/>
        <item x="47"/>
        <item x="76"/>
        <item x="27"/>
        <item x="61"/>
        <item x="54"/>
        <item x="67"/>
        <item x="78"/>
        <item x="5"/>
        <item x="13"/>
        <item x="55"/>
        <item x="60"/>
        <item x="79"/>
        <item x="10"/>
        <item x="44"/>
        <item x="72"/>
        <item x="59"/>
        <item x="65"/>
        <item x="68"/>
        <item x="74"/>
        <item x="29"/>
        <item x="21"/>
        <item x="81"/>
        <item x="49"/>
        <item x="45"/>
        <item x="88"/>
        <item x="80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Passeng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0">
  <location ref="A23:D28" firstHeaderRow="1" firstDataRow="2" firstDataCol="1"/>
  <pivotFields count="13">
    <pivotField dataField="1" compact="0" showAll="0">
      <items count="8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t="default"/>
      </items>
    </pivotField>
    <pivotField axis="axisCol" compact="0" multipleItemSelectionAllowed="1" showAll="0">
      <items count="3">
        <item x="0"/>
        <item x="1"/>
        <item t="default"/>
      </items>
    </pivotField>
    <pivotField axis="axisRow" compact="0" showAll="0">
      <items count="4">
        <item x="1"/>
        <item x="2"/>
        <item x="0"/>
        <item t="default"/>
      </items>
    </pivotField>
    <pivotField compact="0" showAll="0">
      <items count="892">
        <item x="845"/>
        <item x="746"/>
        <item x="279"/>
        <item x="308"/>
        <item x="874"/>
        <item x="365"/>
        <item x="401"/>
        <item x="40"/>
        <item x="855"/>
        <item x="207"/>
        <item x="810"/>
        <item x="840"/>
        <item x="210"/>
        <item x="784"/>
        <item x="730"/>
        <item x="4"/>
        <item x="305"/>
        <item x="297"/>
        <item x="498"/>
        <item x="834"/>
        <item x="192"/>
        <item x="460"/>
        <item x="850"/>
        <item x="813"/>
        <item x="119"/>
        <item x="68"/>
        <item x="541"/>
        <item x="542"/>
        <item x="13"/>
        <item x="146"/>
        <item x="610"/>
        <item x="91"/>
        <item x="144"/>
        <item x="275"/>
        <item x="806"/>
        <item x="518"/>
        <item x="571"/>
        <item x="353"/>
        <item x="49"/>
        <item x="493"/>
        <item x="363"/>
        <item x="182"/>
        <item x="261"/>
        <item x="233"/>
        <item x="25"/>
        <item x="700"/>
        <item x="114"/>
        <item x="244"/>
        <item x="369"/>
        <item x="833"/>
        <item x="780"/>
        <item x="206"/>
        <item x="85"/>
        <item x="644"/>
        <item x="469"/>
        <item x="448"/>
        <item x="858"/>
        <item x="661"/>
        <item x="757"/>
        <item x="870"/>
        <item x="327"/>
        <item x="883"/>
        <item x="762"/>
        <item x="702"/>
        <item x="362"/>
        <item x="290"/>
        <item x="630"/>
        <item x="112"/>
        <item x="150"/>
        <item x="168"/>
        <item x="118"/>
        <item x="299"/>
        <item x="218"/>
        <item x="543"/>
        <item x="546"/>
        <item x="372"/>
        <item x="183"/>
        <item x="618"/>
        <item x="248"/>
        <item x="871"/>
        <item x="21"/>
        <item x="889"/>
        <item x="162"/>
        <item x="225"/>
        <item x="733"/>
        <item x="378"/>
        <item x="380"/>
        <item x="74"/>
        <item x="408"/>
        <item x="484"/>
        <item x="291"/>
        <item x="269"/>
        <item x="430"/>
        <item x="339"/>
        <item x="209"/>
        <item x="11"/>
        <item x="628"/>
        <item x="852"/>
        <item x="598"/>
        <item x="140"/>
        <item x="593"/>
        <item x="188"/>
        <item x="657"/>
        <item x="624"/>
        <item x="356"/>
        <item x="221"/>
        <item x="507"/>
        <item x="477"/>
        <item x="0"/>
        <item x="766"/>
        <item x="614"/>
        <item x="345"/>
        <item x="684"/>
        <item x="194"/>
        <item x="670"/>
        <item x="728"/>
        <item x="143"/>
        <item x="337"/>
        <item x="387"/>
        <item x="666"/>
        <item x="536"/>
        <item x="149"/>
        <item x="865"/>
        <item x="534"/>
        <item x="471"/>
        <item x="270"/>
        <item x="707"/>
        <item x="78"/>
        <item x="323"/>
        <item x="163"/>
        <item x="500"/>
        <item x="211"/>
        <item x="466"/>
        <item x="501"/>
        <item x="37"/>
        <item x="578"/>
        <item x="191"/>
        <item x="679"/>
        <item x="756"/>
        <item x="872"/>
        <item x="208"/>
        <item x="83"/>
        <item x="802"/>
        <item x="435"/>
        <item x="390"/>
        <item x="854"/>
        <item x="763"/>
        <item x="249"/>
        <item x="741"/>
        <item x="89"/>
        <item x="92"/>
        <item x="724"/>
        <item x="809"/>
        <item x="695"/>
        <item x="594"/>
        <item x="421"/>
        <item x="257"/>
        <item x="166"/>
        <item x="838"/>
        <item x="90"/>
        <item x="580"/>
        <item x="73"/>
        <item x="426"/>
        <item x="708"/>
        <item x="475"/>
        <item x="131"/>
        <item x="204"/>
        <item x="663"/>
        <item x="514"/>
        <item x="242"/>
        <item x="342"/>
        <item x="662"/>
        <item x="237"/>
        <item x="637"/>
        <item x="801"/>
        <item x="835"/>
        <item x="749"/>
        <item x="289"/>
        <item x="116"/>
        <item x="668"/>
        <item x="646"/>
        <item x="157"/>
        <item x="489"/>
        <item x="348"/>
        <item x="94"/>
        <item x="67"/>
        <item x="160"/>
        <item x="745"/>
        <item x="540"/>
        <item x="844"/>
        <item x="1"/>
        <item x="413"/>
        <item x="338"/>
        <item x="882"/>
        <item x="687"/>
        <item x="510"/>
        <item x="857"/>
        <item x="616"/>
        <item x="423"/>
        <item x="607"/>
        <item x="321"/>
        <item x="794"/>
        <item x="671"/>
        <item x="549"/>
        <item x="565"/>
        <item x="385"/>
        <item x="635"/>
        <item x="347"/>
        <item x="559"/>
        <item x="286"/>
        <item x="282"/>
        <item x="788"/>
        <item x="93"/>
        <item x="361"/>
        <item x="335"/>
        <item x="320"/>
        <item x="44"/>
        <item x="690"/>
        <item x="781"/>
        <item x="349"/>
        <item x="445"/>
        <item x="568"/>
        <item x="651"/>
        <item x="98"/>
        <item x="890"/>
        <item x="283"/>
        <item x="544"/>
        <item x="79"/>
        <item x="582"/>
        <item x="130"/>
        <item x="416"/>
        <item x="280"/>
        <item x="556"/>
        <item x="599"/>
        <item x="866"/>
        <item x="675"/>
        <item x="658"/>
        <item x="764"/>
        <item x="129"/>
        <item x="773"/>
        <item x="532"/>
        <item x="352"/>
        <item x="592"/>
        <item x="777"/>
        <item x="26"/>
        <item x="716"/>
        <item x="496"/>
        <item x="228"/>
        <item x="525"/>
        <item x="527"/>
        <item x="53"/>
        <item x="688"/>
        <item x="306"/>
        <item x="428"/>
        <item x="825"/>
        <item x="572"/>
        <item x="643"/>
        <item x="436"/>
        <item x="147"/>
        <item x="86"/>
        <item x="736"/>
        <item x="452"/>
        <item x="341"/>
        <item x="88"/>
        <item x="27"/>
        <item x="438"/>
        <item x="344"/>
        <item x="309"/>
        <item x="660"/>
        <item x="334"/>
        <item x="539"/>
        <item x="587"/>
        <item x="481"/>
        <item x="815"/>
        <item x="357"/>
        <item x="137"/>
        <item x="3"/>
        <item x="20"/>
        <item x="405"/>
        <item x="703"/>
        <item x="760"/>
        <item x="576"/>
        <item x="791"/>
        <item x="619"/>
        <item x="462"/>
        <item x="420"/>
        <item x="139"/>
        <item x="861"/>
        <item x="588"/>
        <item x="864"/>
        <item x="722"/>
        <item x="156"/>
        <item x="213"/>
        <item x="32"/>
        <item x="453"/>
        <item x="849"/>
        <item x="96"/>
        <item x="165"/>
        <item x="548"/>
        <item x="328"/>
        <item x="465"/>
        <item x="480"/>
        <item x="386"/>
        <item x="59"/>
        <item x="71"/>
        <item x="683"/>
        <item x="678"/>
        <item x="887"/>
        <item x="332"/>
        <item x="268"/>
        <item x="222"/>
        <item x="714"/>
        <item x="97"/>
        <item x="769"/>
        <item x="789"/>
        <item x="876"/>
        <item x="104"/>
        <item x="392"/>
        <item x="379"/>
        <item x="293"/>
        <item x="451"/>
        <item x="490"/>
        <item x="403"/>
        <item x="142"/>
        <item x="178"/>
        <item x="755"/>
        <item x="247"/>
        <item x="441"/>
        <item x="296"/>
        <item x="860"/>
        <item x="704"/>
        <item x="623"/>
        <item x="370"/>
        <item x="235"/>
        <item x="785"/>
        <item x="720"/>
        <item x="645"/>
        <item x="52"/>
        <item x="848"/>
        <item x="602"/>
        <item x="570"/>
        <item x="62"/>
        <item x="219"/>
        <item x="230"/>
        <item x="263"/>
        <item x="535"/>
        <item x="314"/>
        <item x="411"/>
        <item x="440"/>
        <item x="681"/>
        <item x="731"/>
        <item x="740"/>
        <item x="310"/>
        <item x="820"/>
        <item x="274"/>
        <item x="804"/>
        <item x="654"/>
        <item x="2"/>
        <item x="816"/>
        <item x="313"/>
        <item x="264"/>
        <item x="615"/>
        <item x="754"/>
        <item x="15"/>
        <item x="655"/>
        <item x="665"/>
        <item x="120"/>
        <item x="329"/>
        <item x="523"/>
        <item x="479"/>
        <item x="529"/>
        <item x="774"/>
        <item x="723"/>
        <item x="765"/>
        <item x="236"/>
        <item x="818"/>
        <item x="35"/>
        <item x="383"/>
        <item x="604"/>
        <item x="216"/>
        <item x="72"/>
        <item x="613"/>
        <item x="288"/>
        <item x="224"/>
        <item x="793"/>
        <item x="486"/>
        <item x="699"/>
        <item x="239"/>
        <item x="798"/>
        <item x="61"/>
        <item x="84"/>
        <item x="729"/>
        <item x="177"/>
        <item x="738"/>
        <item x="217"/>
        <item x="600"/>
        <item x="455"/>
        <item x="391"/>
        <item x="611"/>
        <item x="586"/>
        <item x="70"/>
        <item x="640"/>
        <item x="771"/>
        <item x="721"/>
        <item x="368"/>
        <item x="473"/>
        <item x="444"/>
        <item x="202"/>
        <item x="395"/>
        <item x="103"/>
        <item x="805"/>
        <item x="869"/>
        <item x="172"/>
        <item x="597"/>
        <item x="719"/>
        <item x="302"/>
        <item x="8"/>
        <item x="888"/>
        <item x="783"/>
        <item x="753"/>
        <item x="569"/>
        <item x="113"/>
        <item x="402"/>
        <item x="579"/>
        <item x="433"/>
        <item x="652"/>
        <item x="99"/>
        <item x="316"/>
        <item x="606"/>
        <item x="478"/>
        <item x="691"/>
        <item x="524"/>
        <item x="303"/>
        <item x="790"/>
        <item x="470"/>
        <item x="300"/>
        <item x="573"/>
        <item x="696"/>
        <item x="706"/>
        <item x="487"/>
        <item x="457"/>
        <item x="214"/>
        <item x="778"/>
        <item x="621"/>
        <item x="69"/>
        <item x="184"/>
        <item x="626"/>
        <item x="711"/>
        <item x="175"/>
        <item x="732"/>
        <item x="42"/>
        <item x="439"/>
        <item x="522"/>
        <item x="312"/>
        <item x="503"/>
        <item x="878"/>
        <item x="692"/>
        <item x="826"/>
        <item x="376"/>
        <item x="509"/>
        <item x="43"/>
        <item x="685"/>
        <item x="608"/>
        <item x="713"/>
        <item x="231"/>
        <item x="796"/>
        <item x="553"/>
        <item x="176"/>
        <item x="409"/>
        <item x="485"/>
        <item x="229"/>
        <item x="389"/>
        <item x="636"/>
        <item x="596"/>
        <item x="843"/>
        <item x="516"/>
        <item x="46"/>
        <item x="179"/>
        <item x="537"/>
        <item x="811"/>
        <item x="737"/>
        <item x="292"/>
        <item x="295"/>
        <item x="234"/>
        <item x="770"/>
        <item x="246"/>
        <item x="276"/>
        <item x="605"/>
        <item x="664"/>
        <item x="853"/>
        <item x="169"/>
        <item x="253"/>
        <item x="617"/>
        <item x="782"/>
        <item x="627"/>
        <item x="432"/>
        <item x="227"/>
        <item x="821"/>
        <item x="631"/>
        <item x="195"/>
        <item x="772"/>
        <item x="198"/>
        <item x="689"/>
        <item x="127"/>
        <item x="243"/>
        <item x="504"/>
        <item x="464"/>
        <item x="827"/>
        <item x="817"/>
        <item x="36"/>
        <item x="767"/>
        <item x="727"/>
        <item x="839"/>
        <item x="847"/>
        <item x="881"/>
        <item x="748"/>
        <item x="19"/>
        <item x="418"/>
        <item x="710"/>
        <item x="6"/>
        <item x="828"/>
        <item x="330"/>
        <item x="301"/>
        <item x="82"/>
        <item x="718"/>
        <item x="512"/>
        <item x="358"/>
        <item x="22"/>
        <item x="397"/>
        <item x="126"/>
        <item x="743"/>
        <item x="564"/>
        <item x="415"/>
        <item x="446"/>
        <item x="272"/>
        <item x="226"/>
        <item x="152"/>
        <item x="196"/>
        <item x="808"/>
        <item x="34"/>
        <item x="375"/>
        <item x="456"/>
        <item x="463"/>
        <item x="245"/>
        <item x="412"/>
        <item x="294"/>
        <item x="105"/>
        <item x="672"/>
        <item x="650"/>
        <item x="359"/>
        <item x="75"/>
        <item x="492"/>
        <item x="886"/>
        <item x="751"/>
        <item x="823"/>
        <item x="121"/>
        <item x="109"/>
        <item x="768"/>
        <item x="5"/>
        <item x="317"/>
        <item x="705"/>
        <item x="461"/>
        <item x="560"/>
        <item x="107"/>
        <item x="65"/>
        <item x="709"/>
        <item x="367"/>
        <item x="77"/>
        <item x="841"/>
        <item x="697"/>
        <item x="589"/>
        <item x="241"/>
        <item x="612"/>
        <item x="775"/>
        <item x="287"/>
        <item x="875"/>
        <item x="381"/>
        <item x="622"/>
        <item x="739"/>
        <item x="122"/>
        <item x="9"/>
        <item x="273"/>
        <item x="340"/>
        <item x="193"/>
        <item x="148"/>
        <item x="223"/>
        <item x="215"/>
        <item x="393"/>
        <item x="659"/>
        <item x="136"/>
        <item x="145"/>
        <item x="545"/>
        <item x="125"/>
        <item x="39"/>
        <item x="315"/>
        <item x="761"/>
        <item x="400"/>
        <item x="562"/>
        <item x="51"/>
        <item x="57"/>
        <item x="66"/>
        <item x="141"/>
        <item x="326"/>
        <item x="364"/>
        <item x="552"/>
        <item x="186"/>
        <item x="629"/>
        <item x="459"/>
        <item x="350"/>
        <item x="47"/>
        <item x="28"/>
        <item x="554"/>
        <item x="653"/>
        <item x="508"/>
        <item x="197"/>
        <item x="154"/>
        <item x="396"/>
        <item x="281"/>
        <item x="682"/>
        <item x="404"/>
        <item x="725"/>
        <item x="138"/>
        <item x="797"/>
        <item x="54"/>
        <item x="502"/>
        <item x="795"/>
        <item x="547"/>
        <item x="398"/>
        <item x="7"/>
        <item x="374"/>
        <item x="24"/>
        <item x="567"/>
        <item x="164"/>
        <item x="50"/>
        <item x="824"/>
        <item x="266"/>
        <item x="686"/>
        <item x="638"/>
        <item x="277"/>
        <item x="633"/>
        <item x="259"/>
        <item x="331"/>
        <item x="836"/>
        <item x="575"/>
        <item x="584"/>
        <item x="519"/>
        <item x="336"/>
        <item x="151"/>
        <item x="454"/>
        <item x="115"/>
        <item x="505"/>
        <item x="307"/>
        <item x="238"/>
        <item x="212"/>
        <item x="181"/>
        <item x="520"/>
        <item x="267"/>
        <item x="128"/>
        <item x="533"/>
        <item x="680"/>
        <item x="100"/>
        <item x="877"/>
        <item x="101"/>
        <item x="442"/>
        <item x="807"/>
        <item x="449"/>
        <item x="427"/>
        <item x="429"/>
        <item x="190"/>
        <item x="384"/>
        <item x="800"/>
        <item x="110"/>
        <item x="879"/>
        <item x="530"/>
        <item x="506"/>
        <item x="656"/>
        <item x="859"/>
        <item x="250"/>
        <item x="265"/>
        <item x="108"/>
        <item x="476"/>
        <item x="726"/>
        <item x="822"/>
        <item x="443"/>
        <item x="171"/>
        <item x="278"/>
        <item x="16"/>
        <item x="787"/>
        <item x="885"/>
        <item x="135"/>
        <item x="831"/>
        <item x="407"/>
        <item x="437"/>
        <item x="526"/>
        <item x="373"/>
        <item x="590"/>
        <item x="538"/>
        <item x="557"/>
        <item x="779"/>
        <item x="132"/>
        <item x="867"/>
        <item x="45"/>
        <item x="187"/>
        <item x="667"/>
        <item x="185"/>
        <item x="424"/>
        <item x="254"/>
        <item x="583"/>
        <item x="759"/>
        <item x="513"/>
        <item x="482"/>
        <item x="56"/>
        <item x="574"/>
        <item x="517"/>
        <item x="311"/>
        <item x="742"/>
        <item x="832"/>
        <item x="693"/>
        <item x="298"/>
        <item x="388"/>
        <item x="159"/>
        <item x="180"/>
        <item x="863"/>
        <item x="792"/>
        <item x="846"/>
        <item x="201"/>
        <item x="324"/>
        <item x="641"/>
        <item x="106"/>
        <item x="528"/>
        <item x="48"/>
        <item x="10"/>
        <item x="394"/>
        <item x="12"/>
        <item x="676"/>
        <item x="468"/>
        <item x="410"/>
        <item x="343"/>
        <item x="842"/>
        <item x="447"/>
        <item x="551"/>
        <item x="81"/>
        <item x="497"/>
        <item x="880"/>
        <item x="95"/>
        <item x="609"/>
        <item x="417"/>
        <item x="701"/>
        <item x="434"/>
        <item x="577"/>
        <item x="563"/>
        <item x="647"/>
        <item x="747"/>
        <item x="60"/>
        <item x="837"/>
        <item x="561"/>
        <item x="173"/>
        <item x="786"/>
        <item x="232"/>
        <item x="63"/>
        <item x="819"/>
        <item x="634"/>
        <item x="642"/>
        <item x="360"/>
        <item x="167"/>
        <item x="601"/>
        <item x="322"/>
        <item x="812"/>
        <item x="87"/>
        <item x="23"/>
        <item x="467"/>
        <item x="158"/>
        <item x="346"/>
        <item x="174"/>
        <item x="284"/>
        <item x="260"/>
        <item x="134"/>
        <item x="715"/>
        <item x="488"/>
        <item x="319"/>
        <item x="31"/>
        <item x="632"/>
        <item x="76"/>
        <item x="285"/>
        <item x="649"/>
        <item x="494"/>
        <item x="252"/>
        <item x="591"/>
        <item x="64"/>
        <item x="829"/>
        <item x="566"/>
        <item x="474"/>
        <item x="744"/>
        <item x="205"/>
        <item x="251"/>
        <item x="220"/>
        <item x="414"/>
        <item x="884"/>
        <item x="625"/>
        <item x="851"/>
        <item x="499"/>
        <item x="862"/>
        <item x="585"/>
        <item x="262"/>
        <item x="558"/>
        <item x="712"/>
        <item x="669"/>
        <item x="698"/>
        <item x="550"/>
        <item x="581"/>
        <item x="758"/>
        <item x="803"/>
        <item x="256"/>
        <item x="639"/>
        <item x="431"/>
        <item x="382"/>
        <item x="776"/>
        <item x="29"/>
        <item x="814"/>
        <item x="458"/>
        <item x="603"/>
        <item x="271"/>
        <item x="531"/>
        <item x="255"/>
        <item x="734"/>
        <item x="399"/>
        <item x="717"/>
        <item x="189"/>
        <item x="677"/>
        <item x="483"/>
        <item x="117"/>
        <item x="41"/>
        <item x="30"/>
        <item x="153"/>
        <item x="170"/>
        <item x="419"/>
        <item x="595"/>
        <item x="799"/>
        <item x="868"/>
        <item x="752"/>
        <item x="200"/>
        <item x="355"/>
        <item x="873"/>
        <item x="38"/>
        <item x="333"/>
        <item x="18"/>
        <item x="14"/>
        <item x="521"/>
        <item x="80"/>
        <item x="515"/>
        <item x="258"/>
        <item x="366"/>
        <item x="674"/>
        <item x="161"/>
        <item x="123"/>
        <item x="511"/>
        <item x="694"/>
        <item x="133"/>
        <item x="750"/>
        <item x="58"/>
        <item x="450"/>
        <item x="472"/>
        <item x="33"/>
        <item x="124"/>
        <item x="102"/>
        <item x="318"/>
        <item x="856"/>
        <item x="406"/>
        <item x="377"/>
        <item x="371"/>
        <item x="673"/>
        <item x="648"/>
        <item x="155"/>
        <item x="17"/>
        <item x="304"/>
        <item x="735"/>
        <item x="351"/>
        <item x="491"/>
        <item x="425"/>
        <item x="55"/>
        <item x="555"/>
        <item x="620"/>
        <item x="830"/>
        <item x="325"/>
        <item x="203"/>
        <item x="354"/>
        <item x="495"/>
        <item x="199"/>
        <item x="111"/>
        <item x="240"/>
        <item x="42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90">
        <item x="86"/>
        <item x="84"/>
        <item x="77"/>
        <item x="38"/>
        <item x="70"/>
        <item x="58"/>
        <item x="6"/>
        <item x="25"/>
        <item x="9"/>
        <item x="31"/>
        <item x="83"/>
        <item x="26"/>
        <item x="18"/>
        <item x="52"/>
        <item x="73"/>
        <item x="32"/>
        <item x="51"/>
        <item x="75"/>
        <item x="8"/>
        <item x="48"/>
        <item x="16"/>
        <item x="36"/>
        <item x="34"/>
        <item x="24"/>
        <item x="19"/>
        <item x="11"/>
        <item x="64"/>
        <item x="23"/>
        <item x="0"/>
        <item x="41"/>
        <item x="69"/>
        <item x="42"/>
        <item x="82"/>
        <item x="37"/>
        <item x="2"/>
        <item x="7"/>
        <item x="17"/>
        <item x="30"/>
        <item x="28"/>
        <item x="39"/>
        <item x="85"/>
        <item x="14"/>
        <item x="35"/>
        <item x="50"/>
        <item x="40"/>
        <item x="15"/>
        <item x="87"/>
        <item x="3"/>
        <item x="62"/>
        <item x="53"/>
        <item x="46"/>
        <item x="1"/>
        <item x="12"/>
        <item x="20"/>
        <item x="56"/>
        <item x="66"/>
        <item x="22"/>
        <item x="71"/>
        <item x="57"/>
        <item x="33"/>
        <item x="63"/>
        <item x="43"/>
        <item x="47"/>
        <item x="76"/>
        <item x="27"/>
        <item x="61"/>
        <item x="54"/>
        <item x="67"/>
        <item x="78"/>
        <item x="5"/>
        <item x="13"/>
        <item x="55"/>
        <item x="60"/>
        <item x="79"/>
        <item x="10"/>
        <item x="44"/>
        <item x="72"/>
        <item x="59"/>
        <item x="65"/>
        <item x="68"/>
        <item x="74"/>
        <item x="29"/>
        <item x="21"/>
        <item x="81"/>
        <item x="49"/>
        <item x="45"/>
        <item x="88"/>
        <item x="80"/>
        <item x="4"/>
        <item t="default"/>
      </items>
    </pivotField>
    <pivotField compact="0" showAll="0">
      <items count="8">
        <item x="1"/>
        <item x="0"/>
        <item x="4"/>
        <item x="2"/>
        <item x="3"/>
        <item x="5"/>
        <item x="6"/>
        <item t="default"/>
      </items>
    </pivotField>
    <pivotField compact="0" showAll="0">
      <items count="8">
        <item x="0"/>
        <item x="1"/>
        <item x="2"/>
        <item x="4"/>
        <item x="5"/>
        <item x="3"/>
        <item x="6"/>
        <item t="default"/>
      </items>
    </pivotField>
    <pivotField compact="0" showAll="0">
      <items count="682">
        <item x="453"/>
        <item x="668"/>
        <item x="72"/>
        <item x="363"/>
        <item x="644"/>
        <item x="457"/>
        <item x="530"/>
        <item x="437"/>
        <item x="625"/>
        <item x="317"/>
        <item x="111"/>
        <item x="182"/>
        <item x="658"/>
        <item x="25"/>
        <item x="444"/>
        <item x="307"/>
        <item x="325"/>
        <item x="19"/>
        <item x="228"/>
        <item x="38"/>
        <item x="328"/>
        <item x="505"/>
        <item x="64"/>
        <item x="47"/>
        <item x="599"/>
        <item x="492"/>
        <item x="108"/>
        <item x="379"/>
        <item x="670"/>
        <item x="119"/>
        <item x="59"/>
        <item x="642"/>
        <item x="553"/>
        <item x="607"/>
        <item x="35"/>
        <item x="130"/>
        <item x="71"/>
        <item x="650"/>
        <item x="624"/>
        <item x="469"/>
        <item x="612"/>
        <item x="478"/>
        <item x="445"/>
        <item x="313"/>
        <item x="265"/>
        <item x="218"/>
        <item x="306"/>
        <item x="56"/>
        <item x="185"/>
        <item x="438"/>
        <item x="452"/>
        <item x="52"/>
        <item x="482"/>
        <item x="403"/>
        <item x="631"/>
        <item x="160"/>
        <item x="408"/>
        <item x="422"/>
        <item x="110"/>
        <item x="344"/>
        <item x="545"/>
        <item x="177"/>
        <item x="531"/>
        <item x="547"/>
        <item x="304"/>
        <item x="128"/>
        <item x="100"/>
        <item x="566"/>
        <item x="39"/>
        <item x="674"/>
        <item x="401"/>
        <item x="294"/>
        <item x="603"/>
        <item x="525"/>
        <item x="268"/>
        <item x="40"/>
        <item x="222"/>
        <item x="127"/>
        <item x="506"/>
        <item x="460"/>
        <item x="320"/>
        <item x="276"/>
        <item x="472"/>
        <item x="409"/>
        <item x="648"/>
        <item x="196"/>
        <item x="260"/>
        <item x="573"/>
        <item x="618"/>
        <item x="435"/>
        <item x="481"/>
        <item x="521"/>
        <item x="515"/>
        <item x="245"/>
        <item x="371"/>
        <item x="386"/>
        <item x="484"/>
        <item x="450"/>
        <item x="46"/>
        <item x="474"/>
        <item x="318"/>
        <item x="485"/>
        <item x="284"/>
        <item x="585"/>
        <item x="272"/>
        <item x="383"/>
        <item x="6"/>
        <item x="387"/>
        <item x="622"/>
        <item x="661"/>
        <item x="551"/>
        <item x="158"/>
        <item x="259"/>
        <item x="219"/>
        <item x="202"/>
        <item x="54"/>
        <item x="26"/>
        <item x="390"/>
        <item x="639"/>
        <item x="267"/>
        <item x="537"/>
        <item x="200"/>
        <item x="550"/>
        <item x="423"/>
        <item x="211"/>
        <item x="513"/>
        <item x="116"/>
        <item x="331"/>
        <item x="660"/>
        <item x="632"/>
        <item x="621"/>
        <item x="354"/>
        <item x="356"/>
        <item x="339"/>
        <item x="173"/>
        <item x="581"/>
        <item x="289"/>
        <item x="346"/>
        <item x="213"/>
        <item x="282"/>
        <item x="591"/>
        <item x="443"/>
        <item x="608"/>
        <item x="348"/>
        <item x="596"/>
        <item x="538"/>
        <item x="529"/>
        <item x="402"/>
        <item x="504"/>
        <item x="300"/>
        <item x="377"/>
        <item x="569"/>
        <item x="193"/>
        <item x="99"/>
        <item x="145"/>
        <item x="557"/>
        <item x="397"/>
        <item x="570"/>
        <item x="560"/>
        <item x="611"/>
        <item x="577"/>
        <item x="283"/>
        <item x="416"/>
        <item x="509"/>
        <item x="431"/>
        <item x="61"/>
        <item x="508"/>
        <item x="381"/>
        <item x="411"/>
        <item x="376"/>
        <item x="230"/>
        <item x="234"/>
        <item x="107"/>
        <item x="367"/>
        <item x="316"/>
        <item x="156"/>
        <item x="392"/>
        <item x="290"/>
        <item x="679"/>
        <item x="496"/>
        <item x="424"/>
        <item x="169"/>
        <item x="628"/>
        <item x="516"/>
        <item x="678"/>
        <item x="634"/>
        <item x="235"/>
        <item x="187"/>
        <item x="601"/>
        <item x="565"/>
        <item x="291"/>
        <item x="447"/>
        <item x="382"/>
        <item x="657"/>
        <item x="253"/>
        <item x="81"/>
        <item x="613"/>
        <item x="324"/>
        <item x="154"/>
        <item x="53"/>
        <item x="305"/>
        <item x="225"/>
        <item x="60"/>
        <item x="334"/>
        <item x="167"/>
        <item x="589"/>
        <item x="140"/>
        <item x="266"/>
        <item x="11"/>
        <item x="295"/>
        <item x="380"/>
        <item x="413"/>
        <item x="23"/>
        <item x="34"/>
        <item x="396"/>
        <item x="378"/>
        <item x="494"/>
        <item x="241"/>
        <item x="554"/>
        <item x="3"/>
        <item x="499"/>
        <item x="575"/>
        <item x="459"/>
        <item x="677"/>
        <item x="464"/>
        <item x="510"/>
        <item x="199"/>
        <item x="503"/>
        <item x="562"/>
        <item x="270"/>
        <item x="433"/>
        <item x="124"/>
        <item x="298"/>
        <item x="137"/>
        <item x="165"/>
        <item x="232"/>
        <item x="375"/>
        <item x="95"/>
        <item x="134"/>
        <item x="582"/>
        <item x="662"/>
        <item x="393"/>
        <item x="172"/>
        <item x="534"/>
        <item x="287"/>
        <item x="206"/>
        <item x="663"/>
        <item x="578"/>
        <item x="208"/>
        <item x="483"/>
        <item x="517"/>
        <item x="309"/>
        <item x="9"/>
        <item x="480"/>
        <item x="257"/>
        <item x="247"/>
        <item x="406"/>
        <item x="580"/>
        <item x="542"/>
        <item x="20"/>
        <item x="341"/>
        <item x="195"/>
        <item x="477"/>
        <item x="223"/>
        <item x="541"/>
        <item x="340"/>
        <item x="138"/>
        <item x="455"/>
        <item x="297"/>
        <item x="96"/>
        <item x="17"/>
        <item x="21"/>
        <item x="15"/>
        <item x="630"/>
        <item x="491"/>
        <item x="555"/>
        <item x="299"/>
        <item x="76"/>
        <item x="296"/>
        <item x="179"/>
        <item x="574"/>
        <item x="242"/>
        <item x="191"/>
        <item x="567"/>
        <item x="588"/>
        <item x="221"/>
        <item x="278"/>
        <item x="355"/>
        <item x="162"/>
        <item x="364"/>
        <item x="104"/>
        <item x="349"/>
        <item x="535"/>
        <item x="147"/>
        <item x="360"/>
        <item x="446"/>
        <item x="419"/>
        <item x="303"/>
        <item x="399"/>
        <item x="651"/>
        <item x="152"/>
        <item x="576"/>
        <item x="345"/>
        <item x="646"/>
        <item x="638"/>
        <item x="68"/>
        <item x="166"/>
        <item x="398"/>
        <item x="322"/>
        <item x="109"/>
        <item x="5"/>
        <item x="421"/>
        <item x="526"/>
        <item x="22"/>
        <item x="310"/>
        <item x="80"/>
        <item x="546"/>
        <item x="43"/>
        <item x="27"/>
        <item x="456"/>
        <item x="311"/>
        <item x="512"/>
        <item x="590"/>
        <item x="31"/>
        <item x="249"/>
        <item x="343"/>
        <item x="544"/>
        <item x="353"/>
        <item x="103"/>
        <item x="86"/>
        <item x="87"/>
        <item x="288"/>
        <item x="461"/>
        <item x="18"/>
        <item x="37"/>
        <item x="669"/>
        <item x="78"/>
        <item x="373"/>
        <item x="180"/>
        <item x="357"/>
        <item x="255"/>
        <item x="666"/>
        <item x="251"/>
        <item x="79"/>
        <item x="593"/>
        <item x="604"/>
        <item x="308"/>
        <item x="184"/>
        <item x="654"/>
        <item x="120"/>
        <item x="571"/>
        <item x="627"/>
        <item x="347"/>
        <item x="207"/>
        <item x="151"/>
        <item x="326"/>
        <item x="220"/>
        <item x="246"/>
        <item x="600"/>
        <item x="374"/>
        <item x="24"/>
        <item x="609"/>
        <item x="361"/>
        <item x="131"/>
        <item x="13"/>
        <item x="238"/>
        <item x="458"/>
        <item x="629"/>
        <item x="62"/>
        <item x="626"/>
        <item x="250"/>
        <item x="88"/>
        <item x="643"/>
        <item x="281"/>
        <item x="8"/>
        <item x="514"/>
        <item x="558"/>
        <item x="73"/>
        <item x="568"/>
        <item x="583"/>
        <item x="620"/>
        <item x="594"/>
        <item x="468"/>
        <item x="256"/>
        <item x="102"/>
        <item x="74"/>
        <item x="430"/>
        <item x="532"/>
        <item x="671"/>
        <item x="653"/>
        <item x="493"/>
        <item x="98"/>
        <item x="28"/>
        <item x="672"/>
        <item x="584"/>
        <item x="286"/>
        <item x="524"/>
        <item x="350"/>
        <item x="528"/>
        <item x="511"/>
        <item x="293"/>
        <item x="330"/>
        <item x="548"/>
        <item x="520"/>
        <item x="263"/>
        <item x="201"/>
        <item x="262"/>
        <item x="48"/>
        <item x="254"/>
        <item x="385"/>
        <item x="121"/>
        <item x="434"/>
        <item x="279"/>
        <item x="623"/>
        <item x="97"/>
        <item x="498"/>
        <item x="171"/>
        <item x="667"/>
        <item x="105"/>
        <item x="463"/>
        <item x="436"/>
        <item x="41"/>
        <item x="358"/>
        <item x="552"/>
        <item x="673"/>
        <item x="7"/>
        <item x="497"/>
        <item x="543"/>
        <item x="561"/>
        <item x="659"/>
        <item x="507"/>
        <item x="335"/>
        <item x="418"/>
        <item x="549"/>
        <item x="595"/>
        <item x="136"/>
        <item x="174"/>
        <item x="605"/>
        <item x="572"/>
        <item x="519"/>
        <item x="337"/>
        <item x="404"/>
        <item x="159"/>
        <item x="14"/>
        <item x="338"/>
        <item x="470"/>
        <item x="476"/>
        <item x="224"/>
        <item x="153"/>
        <item x="597"/>
        <item x="556"/>
        <item x="449"/>
        <item x="633"/>
        <item x="91"/>
        <item x="391"/>
        <item x="495"/>
        <item x="502"/>
        <item x="77"/>
        <item x="420"/>
        <item x="489"/>
        <item x="170"/>
        <item x="602"/>
        <item x="365"/>
        <item x="133"/>
        <item x="527"/>
        <item x="269"/>
        <item x="641"/>
        <item x="192"/>
        <item x="215"/>
        <item x="186"/>
        <item x="439"/>
        <item x="332"/>
        <item x="640"/>
        <item x="176"/>
        <item x="227"/>
        <item x="168"/>
        <item x="113"/>
        <item x="178"/>
        <item x="45"/>
        <item x="117"/>
        <item x="258"/>
        <item x="244"/>
        <item x="680"/>
        <item x="501"/>
        <item x="389"/>
        <item x="106"/>
        <item x="149"/>
        <item x="462"/>
        <item x="4"/>
        <item x="75"/>
        <item x="616"/>
        <item x="92"/>
        <item x="368"/>
        <item x="586"/>
        <item x="236"/>
        <item x="426"/>
        <item x="16"/>
        <item x="610"/>
        <item x="233"/>
        <item x="301"/>
        <item x="656"/>
        <item x="647"/>
        <item x="592"/>
        <item x="351"/>
        <item x="181"/>
        <item x="617"/>
        <item x="321"/>
        <item x="101"/>
        <item x="336"/>
        <item x="83"/>
        <item x="67"/>
        <item x="49"/>
        <item x="442"/>
        <item x="405"/>
        <item x="36"/>
        <item x="486"/>
        <item x="141"/>
        <item x="410"/>
        <item x="415"/>
        <item x="467"/>
        <item x="475"/>
        <item x="362"/>
        <item x="50"/>
        <item x="0"/>
        <item x="285"/>
        <item x="205"/>
        <item x="190"/>
        <item x="271"/>
        <item x="384"/>
        <item x="536"/>
        <item x="183"/>
        <item x="407"/>
        <item x="488"/>
        <item x="252"/>
        <item x="359"/>
        <item x="12"/>
        <item x="226"/>
        <item x="123"/>
        <item x="142"/>
        <item x="394"/>
        <item x="115"/>
        <item x="118"/>
        <item x="425"/>
        <item x="637"/>
        <item x="315"/>
        <item x="323"/>
        <item x="237"/>
        <item x="372"/>
        <item x="90"/>
        <item x="32"/>
        <item x="540"/>
        <item x="248"/>
        <item x="125"/>
        <item x="65"/>
        <item x="209"/>
        <item x="55"/>
        <item x="212"/>
        <item x="69"/>
        <item x="135"/>
        <item x="150"/>
        <item x="432"/>
        <item x="57"/>
        <item x="302"/>
        <item x="652"/>
        <item x="417"/>
        <item x="675"/>
        <item x="58"/>
        <item x="523"/>
        <item x="148"/>
        <item x="539"/>
        <item x="189"/>
        <item x="280"/>
        <item x="388"/>
        <item x="143"/>
        <item x="163"/>
        <item x="274"/>
        <item x="155"/>
        <item x="428"/>
        <item x="473"/>
        <item x="559"/>
        <item x="563"/>
        <item x="319"/>
        <item x="564"/>
        <item x="441"/>
        <item x="275"/>
        <item x="114"/>
        <item x="30"/>
        <item x="51"/>
        <item x="239"/>
        <item x="229"/>
        <item x="665"/>
        <item x="655"/>
        <item x="129"/>
        <item x="161"/>
        <item x="243"/>
        <item x="144"/>
        <item x="1"/>
        <item x="619"/>
        <item x="29"/>
        <item x="429"/>
        <item x="33"/>
        <item x="63"/>
        <item x="277"/>
        <item x="414"/>
        <item x="175"/>
        <item x="292"/>
        <item x="264"/>
        <item x="93"/>
        <item x="231"/>
        <item x="645"/>
        <item x="327"/>
        <item x="273"/>
        <item x="94"/>
        <item x="240"/>
        <item x="448"/>
        <item x="203"/>
        <item x="10"/>
        <item x="44"/>
        <item x="636"/>
        <item x="606"/>
        <item x="522"/>
        <item x="70"/>
        <item x="139"/>
        <item x="66"/>
        <item x="471"/>
        <item x="333"/>
        <item x="490"/>
        <item x="369"/>
        <item x="400"/>
        <item x="42"/>
        <item x="164"/>
        <item x="126"/>
        <item x="454"/>
        <item x="664"/>
        <item x="261"/>
        <item x="312"/>
        <item x="214"/>
        <item x="82"/>
        <item x="500"/>
        <item x="395"/>
        <item x="122"/>
        <item x="314"/>
        <item x="188"/>
        <item x="615"/>
        <item x="366"/>
        <item x="466"/>
        <item x="598"/>
        <item x="649"/>
        <item x="427"/>
        <item x="412"/>
        <item x="676"/>
        <item x="465"/>
        <item x="85"/>
        <item x="198"/>
        <item x="146"/>
        <item x="352"/>
        <item x="487"/>
        <item x="370"/>
        <item x="217"/>
        <item x="157"/>
        <item x="533"/>
        <item x="479"/>
        <item x="587"/>
        <item x="342"/>
        <item x="518"/>
        <item x="329"/>
        <item x="112"/>
        <item x="579"/>
        <item x="132"/>
        <item x="2"/>
        <item x="194"/>
        <item x="635"/>
        <item x="204"/>
        <item x="440"/>
        <item x="216"/>
        <item x="614"/>
        <item x="84"/>
        <item x="210"/>
        <item x="89"/>
        <item x="197"/>
        <item x="451"/>
        <item t="default"/>
      </items>
    </pivotField>
    <pivotField compact="0" showAll="0">
      <items count="249">
        <item x="104"/>
        <item x="163"/>
        <item x="245"/>
        <item x="152"/>
        <item x="240"/>
        <item x="237"/>
        <item x="110"/>
        <item x="85"/>
        <item x="171"/>
        <item x="238"/>
        <item x="78"/>
        <item x="185"/>
        <item x="79"/>
        <item x="218"/>
        <item x="123"/>
        <item x="76"/>
        <item x="18"/>
        <item x="32"/>
        <item x="0"/>
        <item x="91"/>
        <item x="196"/>
        <item x="186"/>
        <item x="120"/>
        <item x="192"/>
        <item x="55"/>
        <item x="182"/>
        <item x="166"/>
        <item x="93"/>
        <item x="229"/>
        <item x="227"/>
        <item x="28"/>
        <item x="71"/>
        <item x="60"/>
        <item x="88"/>
        <item x="41"/>
        <item x="204"/>
        <item x="13"/>
        <item x="173"/>
        <item x="24"/>
        <item x="235"/>
        <item x="25"/>
        <item x="2"/>
        <item x="20"/>
        <item x="4"/>
        <item x="176"/>
        <item x="222"/>
        <item x="50"/>
        <item x="239"/>
        <item x="230"/>
        <item x="109"/>
        <item x="219"/>
        <item x="5"/>
        <item x="234"/>
        <item x="70"/>
        <item x="51"/>
        <item x="233"/>
        <item x="211"/>
        <item x="138"/>
        <item x="58"/>
        <item x="83"/>
        <item x="157"/>
        <item x="118"/>
        <item x="34"/>
        <item x="228"/>
        <item x="59"/>
        <item x="188"/>
        <item x="73"/>
        <item x="184"/>
        <item x="221"/>
        <item x="246"/>
        <item x="223"/>
        <item x="111"/>
        <item x="29"/>
        <item x="247"/>
        <item x="8"/>
        <item x="33"/>
        <item x="86"/>
        <item x="167"/>
        <item x="122"/>
        <item x="187"/>
        <item x="142"/>
        <item x="57"/>
        <item x="89"/>
        <item x="169"/>
        <item x="137"/>
        <item x="16"/>
        <item x="226"/>
        <item x="119"/>
        <item x="183"/>
        <item x="243"/>
        <item x="203"/>
        <item x="149"/>
        <item x="242"/>
        <item x="174"/>
        <item x="53"/>
        <item x="74"/>
        <item x="80"/>
        <item x="212"/>
        <item x="81"/>
        <item x="105"/>
        <item x="191"/>
        <item x="49"/>
        <item x="37"/>
        <item x="215"/>
        <item x="165"/>
        <item x="96"/>
        <item x="62"/>
        <item x="156"/>
        <item x="14"/>
        <item x="95"/>
        <item x="10"/>
        <item x="206"/>
        <item x="39"/>
        <item x="17"/>
        <item x="170"/>
        <item x="112"/>
        <item x="178"/>
        <item x="131"/>
        <item x="179"/>
        <item x="125"/>
        <item x="134"/>
        <item x="97"/>
        <item x="65"/>
        <item x="35"/>
        <item x="7"/>
        <item x="38"/>
        <item x="107"/>
        <item x="77"/>
        <item x="193"/>
        <item x="68"/>
        <item x="141"/>
        <item x="231"/>
        <item x="145"/>
        <item x="72"/>
        <item x="102"/>
        <item x="220"/>
        <item x="99"/>
        <item x="232"/>
        <item x="19"/>
        <item x="121"/>
        <item x="82"/>
        <item x="194"/>
        <item x="208"/>
        <item x="11"/>
        <item x="115"/>
        <item x="26"/>
        <item x="44"/>
        <item x="48"/>
        <item x="154"/>
        <item x="103"/>
        <item x="56"/>
        <item x="15"/>
        <item x="132"/>
        <item x="209"/>
        <item x="9"/>
        <item x="140"/>
        <item x="101"/>
        <item x="113"/>
        <item x="12"/>
        <item x="22"/>
        <item x="217"/>
        <item x="172"/>
        <item x="213"/>
        <item x="100"/>
        <item x="197"/>
        <item x="63"/>
        <item x="66"/>
        <item x="158"/>
        <item x="21"/>
        <item x="87"/>
        <item x="236"/>
        <item x="181"/>
        <item x="106"/>
        <item x="241"/>
        <item x="205"/>
        <item x="40"/>
        <item x="210"/>
        <item x="36"/>
        <item x="214"/>
        <item x="45"/>
        <item x="61"/>
        <item x="201"/>
        <item x="189"/>
        <item x="108"/>
        <item x="244"/>
        <item x="207"/>
        <item x="6"/>
        <item x="31"/>
        <item x="124"/>
        <item x="3"/>
        <item x="98"/>
        <item x="161"/>
        <item x="175"/>
        <item x="54"/>
        <item x="146"/>
        <item x="225"/>
        <item x="153"/>
        <item x="195"/>
        <item x="64"/>
        <item x="92"/>
        <item x="43"/>
        <item x="67"/>
        <item x="216"/>
        <item x="90"/>
        <item x="160"/>
        <item x="94"/>
        <item x="202"/>
        <item x="1"/>
        <item x="52"/>
        <item x="159"/>
        <item x="116"/>
        <item x="42"/>
        <item x="69"/>
        <item x="133"/>
        <item x="190"/>
        <item x="135"/>
        <item x="84"/>
        <item x="128"/>
        <item x="46"/>
        <item x="177"/>
        <item x="30"/>
        <item x="147"/>
        <item x="47"/>
        <item x="126"/>
        <item x="180"/>
        <item x="117"/>
        <item x="136"/>
        <item x="198"/>
        <item x="200"/>
        <item x="144"/>
        <item x="143"/>
        <item x="114"/>
        <item x="168"/>
        <item x="155"/>
        <item x="151"/>
        <item x="130"/>
        <item x="27"/>
        <item x="139"/>
        <item x="129"/>
        <item x="150"/>
        <item x="224"/>
        <item x="162"/>
        <item x="199"/>
        <item x="164"/>
        <item x="75"/>
        <item x="148"/>
        <item x="23"/>
        <item x="127"/>
        <item t="default"/>
      </items>
    </pivotField>
    <pivotField compact="0" showAll="0">
      <items count="149">
        <item x="53"/>
        <item x="67"/>
        <item x="101"/>
        <item x="84"/>
        <item x="98"/>
        <item x="51"/>
        <item x="104"/>
        <item x="108"/>
        <item x="144"/>
        <item x="110"/>
        <item x="37"/>
        <item x="34"/>
        <item x="76"/>
        <item x="137"/>
        <item x="18"/>
        <item x="7"/>
        <item x="31"/>
        <item x="125"/>
        <item x="138"/>
        <item x="63"/>
        <item x="30"/>
        <item x="118"/>
        <item x="95"/>
        <item x="13"/>
        <item x="133"/>
        <item x="11"/>
        <item x="70"/>
        <item x="85"/>
        <item x="93"/>
        <item x="94"/>
        <item x="35"/>
        <item x="103"/>
        <item x="146"/>
        <item x="52"/>
        <item x="117"/>
        <item x="109"/>
        <item x="115"/>
        <item x="59"/>
        <item x="22"/>
        <item x="139"/>
        <item x="114"/>
        <item x="91"/>
        <item x="44"/>
        <item x="9"/>
        <item x="88"/>
        <item x="36"/>
        <item x="135"/>
        <item x="26"/>
        <item x="46"/>
        <item x="73"/>
        <item x="99"/>
        <item x="5"/>
        <item x="77"/>
        <item x="55"/>
        <item x="21"/>
        <item x="78"/>
        <item x="49"/>
        <item x="2"/>
        <item x="64"/>
        <item x="47"/>
        <item x="113"/>
        <item x="68"/>
        <item x="147"/>
        <item x="28"/>
        <item x="54"/>
        <item x="8"/>
        <item x="86"/>
        <item x="62"/>
        <item x="123"/>
        <item x="127"/>
        <item x="141"/>
        <item x="32"/>
        <item x="145"/>
        <item x="12"/>
        <item x="58"/>
        <item x="120"/>
        <item x="56"/>
        <item x="100"/>
        <item x="60"/>
        <item x="97"/>
        <item x="41"/>
        <item x="72"/>
        <item x="14"/>
        <item x="1"/>
        <item x="96"/>
        <item x="43"/>
        <item x="122"/>
        <item x="65"/>
        <item x="79"/>
        <item x="40"/>
        <item x="92"/>
        <item x="48"/>
        <item x="19"/>
        <item x="130"/>
        <item x="39"/>
        <item x="136"/>
        <item x="105"/>
        <item x="87"/>
        <item x="81"/>
        <item x="20"/>
        <item x="142"/>
        <item x="128"/>
        <item x="10"/>
        <item x="42"/>
        <item x="38"/>
        <item x="69"/>
        <item x="126"/>
        <item x="90"/>
        <item x="25"/>
        <item x="111"/>
        <item x="116"/>
        <item x="106"/>
        <item x="6"/>
        <item x="134"/>
        <item x="50"/>
        <item x="107"/>
        <item x="74"/>
        <item x="23"/>
        <item x="82"/>
        <item x="129"/>
        <item x="143"/>
        <item x="121"/>
        <item x="89"/>
        <item x="17"/>
        <item x="29"/>
        <item x="61"/>
        <item x="57"/>
        <item x="80"/>
        <item x="66"/>
        <item x="75"/>
        <item x="3"/>
        <item x="140"/>
        <item x="71"/>
        <item x="112"/>
        <item x="83"/>
        <item x="45"/>
        <item x="102"/>
        <item x="131"/>
        <item x="124"/>
        <item x="24"/>
        <item x="119"/>
        <item x="16"/>
        <item x="27"/>
        <item x="15"/>
        <item x="132"/>
        <item x="33"/>
        <item x="4"/>
        <item x="0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90">
        <item x="86"/>
        <item x="84"/>
        <item x="77"/>
        <item x="38"/>
        <item x="70"/>
        <item x="58"/>
        <item x="6"/>
        <item x="25"/>
        <item x="9"/>
        <item x="31"/>
        <item x="83"/>
        <item x="26"/>
        <item x="18"/>
        <item x="52"/>
        <item x="73"/>
        <item x="32"/>
        <item x="51"/>
        <item x="75"/>
        <item x="8"/>
        <item x="48"/>
        <item x="16"/>
        <item x="36"/>
        <item x="34"/>
        <item x="24"/>
        <item x="19"/>
        <item x="11"/>
        <item x="64"/>
        <item x="23"/>
        <item x="0"/>
        <item x="41"/>
        <item x="69"/>
        <item x="42"/>
        <item x="82"/>
        <item x="37"/>
        <item x="2"/>
        <item x="7"/>
        <item x="17"/>
        <item x="30"/>
        <item x="28"/>
        <item x="4"/>
        <item x="39"/>
        <item x="85"/>
        <item x="14"/>
        <item x="35"/>
        <item x="50"/>
        <item x="40"/>
        <item x="15"/>
        <item x="87"/>
        <item x="3"/>
        <item x="62"/>
        <item x="53"/>
        <item x="46"/>
        <item x="1"/>
        <item x="12"/>
        <item x="20"/>
        <item x="56"/>
        <item x="66"/>
        <item x="22"/>
        <item x="71"/>
        <item x="57"/>
        <item x="33"/>
        <item x="63"/>
        <item x="43"/>
        <item x="47"/>
        <item x="76"/>
        <item x="27"/>
        <item x="61"/>
        <item x="54"/>
        <item x="67"/>
        <item x="78"/>
        <item x="5"/>
        <item x="13"/>
        <item x="55"/>
        <item x="60"/>
        <item x="79"/>
        <item x="10"/>
        <item x="44"/>
        <item x="72"/>
        <item x="59"/>
        <item x="65"/>
        <item x="68"/>
        <item x="74"/>
        <item x="29"/>
        <item x="21"/>
        <item x="81"/>
        <item x="49"/>
        <item x="45"/>
        <item x="88"/>
        <item x="80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Passeng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43:D49" firstHeaderRow="1" firstDataRow="2" firstDataCol="1"/>
  <pivotFields count="13">
    <pivotField dataField="1" compact="0" showAll="0">
      <items count="8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t="default"/>
      </items>
    </pivotField>
    <pivotField axis="axisCol" compact="0" showAll="0">
      <items count="3">
        <item x="0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892">
        <item x="845"/>
        <item x="746"/>
        <item x="279"/>
        <item x="308"/>
        <item x="874"/>
        <item x="365"/>
        <item x="401"/>
        <item x="40"/>
        <item x="855"/>
        <item x="207"/>
        <item x="810"/>
        <item x="840"/>
        <item x="210"/>
        <item x="784"/>
        <item x="730"/>
        <item x="4"/>
        <item x="305"/>
        <item x="297"/>
        <item x="498"/>
        <item x="834"/>
        <item x="192"/>
        <item x="460"/>
        <item x="850"/>
        <item x="813"/>
        <item x="119"/>
        <item x="68"/>
        <item x="541"/>
        <item x="542"/>
        <item x="13"/>
        <item x="146"/>
        <item x="610"/>
        <item x="91"/>
        <item x="144"/>
        <item x="275"/>
        <item x="806"/>
        <item x="518"/>
        <item x="571"/>
        <item x="353"/>
        <item x="49"/>
        <item x="493"/>
        <item x="363"/>
        <item x="182"/>
        <item x="261"/>
        <item x="233"/>
        <item x="25"/>
        <item x="700"/>
        <item x="114"/>
        <item x="244"/>
        <item x="369"/>
        <item x="833"/>
        <item x="780"/>
        <item x="206"/>
        <item x="85"/>
        <item x="644"/>
        <item x="469"/>
        <item x="448"/>
        <item x="858"/>
        <item x="661"/>
        <item x="757"/>
        <item x="870"/>
        <item x="327"/>
        <item x="883"/>
        <item x="762"/>
        <item x="702"/>
        <item x="362"/>
        <item x="290"/>
        <item x="630"/>
        <item x="112"/>
        <item x="150"/>
        <item x="168"/>
        <item x="118"/>
        <item x="299"/>
        <item x="218"/>
        <item x="543"/>
        <item x="546"/>
        <item x="372"/>
        <item x="183"/>
        <item x="618"/>
        <item x="248"/>
        <item x="871"/>
        <item x="21"/>
        <item x="889"/>
        <item x="162"/>
        <item x="225"/>
        <item x="733"/>
        <item x="378"/>
        <item x="380"/>
        <item x="74"/>
        <item x="408"/>
        <item x="484"/>
        <item x="291"/>
        <item x="269"/>
        <item x="430"/>
        <item x="339"/>
        <item x="209"/>
        <item x="11"/>
        <item x="628"/>
        <item x="852"/>
        <item x="598"/>
        <item x="140"/>
        <item x="593"/>
        <item x="188"/>
        <item x="657"/>
        <item x="624"/>
        <item x="356"/>
        <item x="221"/>
        <item x="507"/>
        <item x="477"/>
        <item x="0"/>
        <item x="766"/>
        <item x="614"/>
        <item x="345"/>
        <item x="684"/>
        <item x="194"/>
        <item x="670"/>
        <item x="728"/>
        <item x="143"/>
        <item x="337"/>
        <item x="387"/>
        <item x="666"/>
        <item x="536"/>
        <item x="149"/>
        <item x="865"/>
        <item x="534"/>
        <item x="471"/>
        <item x="270"/>
        <item x="707"/>
        <item x="78"/>
        <item x="323"/>
        <item x="163"/>
        <item x="500"/>
        <item x="211"/>
        <item x="466"/>
        <item x="501"/>
        <item x="37"/>
        <item x="578"/>
        <item x="191"/>
        <item x="679"/>
        <item x="756"/>
        <item x="872"/>
        <item x="208"/>
        <item x="83"/>
        <item x="802"/>
        <item x="435"/>
        <item x="390"/>
        <item x="854"/>
        <item x="763"/>
        <item x="249"/>
        <item x="741"/>
        <item x="89"/>
        <item x="92"/>
        <item x="724"/>
        <item x="809"/>
        <item x="695"/>
        <item x="594"/>
        <item x="421"/>
        <item x="257"/>
        <item x="166"/>
        <item x="838"/>
        <item x="90"/>
        <item x="580"/>
        <item x="73"/>
        <item x="426"/>
        <item x="708"/>
        <item x="475"/>
        <item x="131"/>
        <item x="204"/>
        <item x="663"/>
        <item x="514"/>
        <item x="242"/>
        <item x="342"/>
        <item x="662"/>
        <item x="237"/>
        <item x="637"/>
        <item x="801"/>
        <item x="835"/>
        <item x="749"/>
        <item x="289"/>
        <item x="116"/>
        <item x="668"/>
        <item x="646"/>
        <item x="157"/>
        <item x="489"/>
        <item x="348"/>
        <item x="94"/>
        <item x="67"/>
        <item x="160"/>
        <item x="745"/>
        <item x="540"/>
        <item x="844"/>
        <item x="1"/>
        <item x="413"/>
        <item x="338"/>
        <item x="882"/>
        <item x="687"/>
        <item x="510"/>
        <item x="857"/>
        <item x="616"/>
        <item x="423"/>
        <item x="607"/>
        <item x="321"/>
        <item x="794"/>
        <item x="671"/>
        <item x="549"/>
        <item x="565"/>
        <item x="385"/>
        <item x="635"/>
        <item x="347"/>
        <item x="559"/>
        <item x="286"/>
        <item x="282"/>
        <item x="788"/>
        <item x="93"/>
        <item x="361"/>
        <item x="335"/>
        <item x="320"/>
        <item x="44"/>
        <item x="690"/>
        <item x="781"/>
        <item x="349"/>
        <item x="445"/>
        <item x="568"/>
        <item x="651"/>
        <item x="98"/>
        <item x="890"/>
        <item x="283"/>
        <item x="544"/>
        <item x="79"/>
        <item x="582"/>
        <item x="130"/>
        <item x="416"/>
        <item x="280"/>
        <item x="556"/>
        <item x="599"/>
        <item x="866"/>
        <item x="675"/>
        <item x="658"/>
        <item x="764"/>
        <item x="129"/>
        <item x="773"/>
        <item x="532"/>
        <item x="352"/>
        <item x="592"/>
        <item x="777"/>
        <item x="26"/>
        <item x="716"/>
        <item x="496"/>
        <item x="228"/>
        <item x="525"/>
        <item x="527"/>
        <item x="53"/>
        <item x="688"/>
        <item x="306"/>
        <item x="428"/>
        <item x="825"/>
        <item x="572"/>
        <item x="643"/>
        <item x="436"/>
        <item x="147"/>
        <item x="86"/>
        <item x="736"/>
        <item x="452"/>
        <item x="341"/>
        <item x="88"/>
        <item x="27"/>
        <item x="438"/>
        <item x="344"/>
        <item x="309"/>
        <item x="660"/>
        <item x="334"/>
        <item x="539"/>
        <item x="587"/>
        <item x="481"/>
        <item x="815"/>
        <item x="357"/>
        <item x="137"/>
        <item x="3"/>
        <item x="20"/>
        <item x="405"/>
        <item x="703"/>
        <item x="760"/>
        <item x="576"/>
        <item x="791"/>
        <item x="619"/>
        <item x="462"/>
        <item x="420"/>
        <item x="139"/>
        <item x="861"/>
        <item x="588"/>
        <item x="864"/>
        <item x="722"/>
        <item x="156"/>
        <item x="213"/>
        <item x="32"/>
        <item x="453"/>
        <item x="849"/>
        <item x="96"/>
        <item x="165"/>
        <item x="548"/>
        <item x="328"/>
        <item x="465"/>
        <item x="480"/>
        <item x="386"/>
        <item x="59"/>
        <item x="71"/>
        <item x="683"/>
        <item x="678"/>
        <item x="887"/>
        <item x="332"/>
        <item x="268"/>
        <item x="222"/>
        <item x="714"/>
        <item x="97"/>
        <item x="769"/>
        <item x="789"/>
        <item x="876"/>
        <item x="104"/>
        <item x="392"/>
        <item x="379"/>
        <item x="293"/>
        <item x="451"/>
        <item x="490"/>
        <item x="403"/>
        <item x="142"/>
        <item x="178"/>
        <item x="755"/>
        <item x="247"/>
        <item x="441"/>
        <item x="296"/>
        <item x="860"/>
        <item x="704"/>
        <item x="623"/>
        <item x="370"/>
        <item x="235"/>
        <item x="785"/>
        <item x="720"/>
        <item x="645"/>
        <item x="52"/>
        <item x="848"/>
        <item x="602"/>
        <item x="570"/>
        <item x="62"/>
        <item x="219"/>
        <item x="230"/>
        <item x="263"/>
        <item x="535"/>
        <item x="314"/>
        <item x="411"/>
        <item x="440"/>
        <item x="681"/>
        <item x="731"/>
        <item x="740"/>
        <item x="310"/>
        <item x="820"/>
        <item x="274"/>
        <item x="804"/>
        <item x="654"/>
        <item x="2"/>
        <item x="816"/>
        <item x="313"/>
        <item x="264"/>
        <item x="615"/>
        <item x="754"/>
        <item x="15"/>
        <item x="655"/>
        <item x="665"/>
        <item x="120"/>
        <item x="329"/>
        <item x="523"/>
        <item x="479"/>
        <item x="529"/>
        <item x="774"/>
        <item x="723"/>
        <item x="765"/>
        <item x="236"/>
        <item x="818"/>
        <item x="35"/>
        <item x="383"/>
        <item x="604"/>
        <item x="216"/>
        <item x="72"/>
        <item x="613"/>
        <item x="288"/>
        <item x="224"/>
        <item x="793"/>
        <item x="486"/>
        <item x="699"/>
        <item x="239"/>
        <item x="798"/>
        <item x="61"/>
        <item x="84"/>
        <item x="729"/>
        <item x="177"/>
        <item x="738"/>
        <item x="217"/>
        <item x="600"/>
        <item x="455"/>
        <item x="391"/>
        <item x="611"/>
        <item x="586"/>
        <item x="70"/>
        <item x="640"/>
        <item x="771"/>
        <item x="721"/>
        <item x="368"/>
        <item x="473"/>
        <item x="444"/>
        <item x="202"/>
        <item x="395"/>
        <item x="103"/>
        <item x="805"/>
        <item x="869"/>
        <item x="172"/>
        <item x="597"/>
        <item x="719"/>
        <item x="302"/>
        <item x="8"/>
        <item x="888"/>
        <item x="783"/>
        <item x="753"/>
        <item x="569"/>
        <item x="113"/>
        <item x="402"/>
        <item x="579"/>
        <item x="433"/>
        <item x="652"/>
        <item x="99"/>
        <item x="316"/>
        <item x="606"/>
        <item x="478"/>
        <item x="691"/>
        <item x="524"/>
        <item x="303"/>
        <item x="790"/>
        <item x="470"/>
        <item x="300"/>
        <item x="573"/>
        <item x="696"/>
        <item x="706"/>
        <item x="487"/>
        <item x="457"/>
        <item x="214"/>
        <item x="778"/>
        <item x="621"/>
        <item x="69"/>
        <item x="184"/>
        <item x="626"/>
        <item x="711"/>
        <item x="175"/>
        <item x="732"/>
        <item x="42"/>
        <item x="439"/>
        <item x="522"/>
        <item x="312"/>
        <item x="503"/>
        <item x="878"/>
        <item x="692"/>
        <item x="826"/>
        <item x="376"/>
        <item x="509"/>
        <item x="43"/>
        <item x="685"/>
        <item x="608"/>
        <item x="713"/>
        <item x="231"/>
        <item x="796"/>
        <item x="553"/>
        <item x="176"/>
        <item x="409"/>
        <item x="485"/>
        <item x="229"/>
        <item x="389"/>
        <item x="636"/>
        <item x="596"/>
        <item x="843"/>
        <item x="516"/>
        <item x="46"/>
        <item x="179"/>
        <item x="537"/>
        <item x="811"/>
        <item x="737"/>
        <item x="292"/>
        <item x="295"/>
        <item x="234"/>
        <item x="770"/>
        <item x="246"/>
        <item x="276"/>
        <item x="605"/>
        <item x="664"/>
        <item x="853"/>
        <item x="169"/>
        <item x="253"/>
        <item x="617"/>
        <item x="782"/>
        <item x="627"/>
        <item x="432"/>
        <item x="227"/>
        <item x="821"/>
        <item x="631"/>
        <item x="195"/>
        <item x="772"/>
        <item x="198"/>
        <item x="689"/>
        <item x="127"/>
        <item x="243"/>
        <item x="504"/>
        <item x="464"/>
        <item x="827"/>
        <item x="817"/>
        <item x="36"/>
        <item x="767"/>
        <item x="727"/>
        <item x="839"/>
        <item x="847"/>
        <item x="881"/>
        <item x="748"/>
        <item x="19"/>
        <item x="418"/>
        <item x="710"/>
        <item x="6"/>
        <item x="828"/>
        <item x="330"/>
        <item x="301"/>
        <item x="82"/>
        <item x="718"/>
        <item x="512"/>
        <item x="358"/>
        <item x="22"/>
        <item x="397"/>
        <item x="126"/>
        <item x="743"/>
        <item x="564"/>
        <item x="415"/>
        <item x="446"/>
        <item x="272"/>
        <item x="226"/>
        <item x="152"/>
        <item x="196"/>
        <item x="808"/>
        <item x="34"/>
        <item x="375"/>
        <item x="456"/>
        <item x="463"/>
        <item x="245"/>
        <item x="412"/>
        <item x="294"/>
        <item x="105"/>
        <item x="672"/>
        <item x="650"/>
        <item x="359"/>
        <item x="75"/>
        <item x="492"/>
        <item x="886"/>
        <item x="751"/>
        <item x="823"/>
        <item x="121"/>
        <item x="109"/>
        <item x="768"/>
        <item x="5"/>
        <item x="317"/>
        <item x="705"/>
        <item x="461"/>
        <item x="560"/>
        <item x="107"/>
        <item x="65"/>
        <item x="709"/>
        <item x="367"/>
        <item x="77"/>
        <item x="841"/>
        <item x="697"/>
        <item x="589"/>
        <item x="241"/>
        <item x="612"/>
        <item x="775"/>
        <item x="287"/>
        <item x="875"/>
        <item x="381"/>
        <item x="622"/>
        <item x="739"/>
        <item x="122"/>
        <item x="9"/>
        <item x="273"/>
        <item x="340"/>
        <item x="193"/>
        <item x="148"/>
        <item x="223"/>
        <item x="215"/>
        <item x="393"/>
        <item x="659"/>
        <item x="136"/>
        <item x="145"/>
        <item x="545"/>
        <item x="125"/>
        <item x="39"/>
        <item x="315"/>
        <item x="761"/>
        <item x="400"/>
        <item x="562"/>
        <item x="51"/>
        <item x="57"/>
        <item x="66"/>
        <item x="141"/>
        <item x="326"/>
        <item x="364"/>
        <item x="552"/>
        <item x="186"/>
        <item x="629"/>
        <item x="459"/>
        <item x="350"/>
        <item x="47"/>
        <item x="28"/>
        <item x="554"/>
        <item x="653"/>
        <item x="508"/>
        <item x="197"/>
        <item x="154"/>
        <item x="396"/>
        <item x="281"/>
        <item x="682"/>
        <item x="404"/>
        <item x="725"/>
        <item x="138"/>
        <item x="797"/>
        <item x="54"/>
        <item x="502"/>
        <item x="795"/>
        <item x="547"/>
        <item x="398"/>
        <item x="7"/>
        <item x="374"/>
        <item x="24"/>
        <item x="567"/>
        <item x="164"/>
        <item x="50"/>
        <item x="824"/>
        <item x="266"/>
        <item x="686"/>
        <item x="638"/>
        <item x="277"/>
        <item x="633"/>
        <item x="259"/>
        <item x="331"/>
        <item x="836"/>
        <item x="575"/>
        <item x="584"/>
        <item x="519"/>
        <item x="336"/>
        <item x="151"/>
        <item x="454"/>
        <item x="115"/>
        <item x="505"/>
        <item x="307"/>
        <item x="238"/>
        <item x="212"/>
        <item x="181"/>
        <item x="520"/>
        <item x="267"/>
        <item x="128"/>
        <item x="533"/>
        <item x="680"/>
        <item x="100"/>
        <item x="877"/>
        <item x="101"/>
        <item x="442"/>
        <item x="807"/>
        <item x="449"/>
        <item x="427"/>
        <item x="429"/>
        <item x="190"/>
        <item x="384"/>
        <item x="800"/>
        <item x="110"/>
        <item x="879"/>
        <item x="530"/>
        <item x="506"/>
        <item x="656"/>
        <item x="859"/>
        <item x="250"/>
        <item x="265"/>
        <item x="108"/>
        <item x="476"/>
        <item x="726"/>
        <item x="822"/>
        <item x="443"/>
        <item x="171"/>
        <item x="278"/>
        <item x="16"/>
        <item x="787"/>
        <item x="885"/>
        <item x="135"/>
        <item x="831"/>
        <item x="407"/>
        <item x="437"/>
        <item x="526"/>
        <item x="373"/>
        <item x="590"/>
        <item x="538"/>
        <item x="557"/>
        <item x="779"/>
        <item x="132"/>
        <item x="867"/>
        <item x="45"/>
        <item x="187"/>
        <item x="667"/>
        <item x="185"/>
        <item x="424"/>
        <item x="254"/>
        <item x="583"/>
        <item x="759"/>
        <item x="513"/>
        <item x="482"/>
        <item x="56"/>
        <item x="574"/>
        <item x="517"/>
        <item x="311"/>
        <item x="742"/>
        <item x="832"/>
        <item x="693"/>
        <item x="298"/>
        <item x="388"/>
        <item x="159"/>
        <item x="180"/>
        <item x="863"/>
        <item x="792"/>
        <item x="846"/>
        <item x="201"/>
        <item x="324"/>
        <item x="641"/>
        <item x="106"/>
        <item x="528"/>
        <item x="48"/>
        <item x="10"/>
        <item x="394"/>
        <item x="12"/>
        <item x="676"/>
        <item x="468"/>
        <item x="410"/>
        <item x="343"/>
        <item x="842"/>
        <item x="447"/>
        <item x="551"/>
        <item x="81"/>
        <item x="497"/>
        <item x="880"/>
        <item x="95"/>
        <item x="609"/>
        <item x="417"/>
        <item x="701"/>
        <item x="434"/>
        <item x="577"/>
        <item x="563"/>
        <item x="647"/>
        <item x="747"/>
        <item x="60"/>
        <item x="837"/>
        <item x="561"/>
        <item x="173"/>
        <item x="786"/>
        <item x="232"/>
        <item x="63"/>
        <item x="819"/>
        <item x="634"/>
        <item x="642"/>
        <item x="360"/>
        <item x="167"/>
        <item x="601"/>
        <item x="322"/>
        <item x="812"/>
        <item x="87"/>
        <item x="23"/>
        <item x="467"/>
        <item x="158"/>
        <item x="346"/>
        <item x="174"/>
        <item x="284"/>
        <item x="260"/>
        <item x="134"/>
        <item x="715"/>
        <item x="488"/>
        <item x="319"/>
        <item x="31"/>
        <item x="632"/>
        <item x="76"/>
        <item x="285"/>
        <item x="649"/>
        <item x="494"/>
        <item x="252"/>
        <item x="591"/>
        <item x="64"/>
        <item x="829"/>
        <item x="566"/>
        <item x="474"/>
        <item x="744"/>
        <item x="205"/>
        <item x="251"/>
        <item x="220"/>
        <item x="414"/>
        <item x="884"/>
        <item x="625"/>
        <item x="851"/>
        <item x="499"/>
        <item x="862"/>
        <item x="585"/>
        <item x="262"/>
        <item x="558"/>
        <item x="712"/>
        <item x="669"/>
        <item x="698"/>
        <item x="550"/>
        <item x="581"/>
        <item x="758"/>
        <item x="803"/>
        <item x="256"/>
        <item x="639"/>
        <item x="431"/>
        <item x="382"/>
        <item x="776"/>
        <item x="29"/>
        <item x="814"/>
        <item x="458"/>
        <item x="603"/>
        <item x="271"/>
        <item x="531"/>
        <item x="255"/>
        <item x="734"/>
        <item x="399"/>
        <item x="717"/>
        <item x="189"/>
        <item x="677"/>
        <item x="483"/>
        <item x="117"/>
        <item x="41"/>
        <item x="30"/>
        <item x="153"/>
        <item x="170"/>
        <item x="419"/>
        <item x="595"/>
        <item x="799"/>
        <item x="868"/>
        <item x="752"/>
        <item x="200"/>
        <item x="355"/>
        <item x="873"/>
        <item x="38"/>
        <item x="333"/>
        <item x="18"/>
        <item x="14"/>
        <item x="521"/>
        <item x="80"/>
        <item x="515"/>
        <item x="258"/>
        <item x="366"/>
        <item x="674"/>
        <item x="161"/>
        <item x="123"/>
        <item x="511"/>
        <item x="694"/>
        <item x="133"/>
        <item x="750"/>
        <item x="58"/>
        <item x="450"/>
        <item x="472"/>
        <item x="33"/>
        <item x="124"/>
        <item x="102"/>
        <item x="318"/>
        <item x="856"/>
        <item x="406"/>
        <item x="377"/>
        <item x="371"/>
        <item x="673"/>
        <item x="648"/>
        <item x="155"/>
        <item x="17"/>
        <item x="304"/>
        <item x="735"/>
        <item x="351"/>
        <item x="491"/>
        <item x="425"/>
        <item x="55"/>
        <item x="555"/>
        <item x="620"/>
        <item x="830"/>
        <item x="325"/>
        <item x="203"/>
        <item x="354"/>
        <item x="495"/>
        <item x="199"/>
        <item x="111"/>
        <item x="240"/>
        <item x="42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90">
        <item x="86"/>
        <item x="84"/>
        <item x="77"/>
        <item x="38"/>
        <item x="70"/>
        <item x="58"/>
        <item x="6"/>
        <item x="25"/>
        <item x="9"/>
        <item x="31"/>
        <item x="83"/>
        <item x="26"/>
        <item x="18"/>
        <item x="52"/>
        <item x="73"/>
        <item x="32"/>
        <item x="51"/>
        <item x="75"/>
        <item x="8"/>
        <item x="48"/>
        <item x="16"/>
        <item x="36"/>
        <item x="34"/>
        <item x="24"/>
        <item x="19"/>
        <item x="11"/>
        <item x="64"/>
        <item x="23"/>
        <item x="0"/>
        <item x="41"/>
        <item x="69"/>
        <item x="42"/>
        <item x="82"/>
        <item x="37"/>
        <item x="2"/>
        <item x="7"/>
        <item x="17"/>
        <item x="30"/>
        <item x="28"/>
        <item x="39"/>
        <item x="85"/>
        <item x="14"/>
        <item x="35"/>
        <item x="50"/>
        <item x="40"/>
        <item x="15"/>
        <item x="87"/>
        <item x="3"/>
        <item x="62"/>
        <item x="53"/>
        <item x="46"/>
        <item x="1"/>
        <item x="12"/>
        <item x="20"/>
        <item x="56"/>
        <item x="66"/>
        <item x="22"/>
        <item x="71"/>
        <item x="57"/>
        <item x="33"/>
        <item x="63"/>
        <item x="43"/>
        <item x="47"/>
        <item x="76"/>
        <item x="27"/>
        <item x="61"/>
        <item x="54"/>
        <item x="67"/>
        <item x="78"/>
        <item x="5"/>
        <item x="13"/>
        <item x="55"/>
        <item x="60"/>
        <item x="79"/>
        <item x="10"/>
        <item x="44"/>
        <item x="72"/>
        <item x="59"/>
        <item x="65"/>
        <item x="68"/>
        <item x="74"/>
        <item x="29"/>
        <item x="21"/>
        <item x="81"/>
        <item x="49"/>
        <item x="45"/>
        <item x="88"/>
        <item x="80"/>
        <item x="4"/>
        <item t="default"/>
      </items>
    </pivotField>
    <pivotField compact="0" showAll="0">
      <items count="8">
        <item x="1"/>
        <item x="0"/>
        <item x="4"/>
        <item x="2"/>
        <item x="3"/>
        <item x="5"/>
        <item x="6"/>
        <item t="default"/>
      </items>
    </pivotField>
    <pivotField compact="0" showAll="0">
      <items count="8">
        <item x="0"/>
        <item x="1"/>
        <item x="2"/>
        <item x="4"/>
        <item x="5"/>
        <item x="3"/>
        <item x="6"/>
        <item t="default"/>
      </items>
    </pivotField>
    <pivotField compact="0" showAll="0">
      <items count="682">
        <item x="453"/>
        <item x="668"/>
        <item x="72"/>
        <item x="363"/>
        <item x="644"/>
        <item x="457"/>
        <item x="530"/>
        <item x="437"/>
        <item x="625"/>
        <item x="317"/>
        <item x="111"/>
        <item x="182"/>
        <item x="658"/>
        <item x="25"/>
        <item x="444"/>
        <item x="307"/>
        <item x="325"/>
        <item x="19"/>
        <item x="228"/>
        <item x="38"/>
        <item x="328"/>
        <item x="505"/>
        <item x="64"/>
        <item x="47"/>
        <item x="599"/>
        <item x="492"/>
        <item x="108"/>
        <item x="379"/>
        <item x="670"/>
        <item x="119"/>
        <item x="59"/>
        <item x="642"/>
        <item x="553"/>
        <item x="607"/>
        <item x="35"/>
        <item x="130"/>
        <item x="71"/>
        <item x="650"/>
        <item x="624"/>
        <item x="469"/>
        <item x="612"/>
        <item x="478"/>
        <item x="445"/>
        <item x="313"/>
        <item x="265"/>
        <item x="218"/>
        <item x="306"/>
        <item x="56"/>
        <item x="185"/>
        <item x="438"/>
        <item x="452"/>
        <item x="52"/>
        <item x="482"/>
        <item x="403"/>
        <item x="631"/>
        <item x="160"/>
        <item x="408"/>
        <item x="422"/>
        <item x="110"/>
        <item x="344"/>
        <item x="545"/>
        <item x="177"/>
        <item x="531"/>
        <item x="547"/>
        <item x="304"/>
        <item x="128"/>
        <item x="100"/>
        <item x="566"/>
        <item x="39"/>
        <item x="674"/>
        <item x="401"/>
        <item x="294"/>
        <item x="603"/>
        <item x="525"/>
        <item x="268"/>
        <item x="40"/>
        <item x="222"/>
        <item x="127"/>
        <item x="506"/>
        <item x="460"/>
        <item x="320"/>
        <item x="276"/>
        <item x="472"/>
        <item x="409"/>
        <item x="648"/>
        <item x="196"/>
        <item x="260"/>
        <item x="573"/>
        <item x="618"/>
        <item x="435"/>
        <item x="481"/>
        <item x="521"/>
        <item x="515"/>
        <item x="245"/>
        <item x="371"/>
        <item x="386"/>
        <item x="484"/>
        <item x="450"/>
        <item x="46"/>
        <item x="474"/>
        <item x="318"/>
        <item x="485"/>
        <item x="284"/>
        <item x="585"/>
        <item x="272"/>
        <item x="383"/>
        <item x="6"/>
        <item x="387"/>
        <item x="622"/>
        <item x="661"/>
        <item x="551"/>
        <item x="158"/>
        <item x="259"/>
        <item x="219"/>
        <item x="202"/>
        <item x="54"/>
        <item x="26"/>
        <item x="390"/>
        <item x="639"/>
        <item x="267"/>
        <item x="537"/>
        <item x="200"/>
        <item x="550"/>
        <item x="423"/>
        <item x="211"/>
        <item x="513"/>
        <item x="116"/>
        <item x="331"/>
        <item x="660"/>
        <item x="632"/>
        <item x="621"/>
        <item x="354"/>
        <item x="356"/>
        <item x="339"/>
        <item x="173"/>
        <item x="581"/>
        <item x="289"/>
        <item x="346"/>
        <item x="213"/>
        <item x="282"/>
        <item x="591"/>
        <item x="443"/>
        <item x="608"/>
        <item x="348"/>
        <item x="596"/>
        <item x="538"/>
        <item x="529"/>
        <item x="402"/>
        <item x="504"/>
        <item x="300"/>
        <item x="377"/>
        <item x="569"/>
        <item x="193"/>
        <item x="99"/>
        <item x="145"/>
        <item x="557"/>
        <item x="397"/>
        <item x="570"/>
        <item x="560"/>
        <item x="611"/>
        <item x="577"/>
        <item x="283"/>
        <item x="416"/>
        <item x="509"/>
        <item x="431"/>
        <item x="61"/>
        <item x="508"/>
        <item x="381"/>
        <item x="411"/>
        <item x="376"/>
        <item x="230"/>
        <item x="234"/>
        <item x="107"/>
        <item x="367"/>
        <item x="316"/>
        <item x="156"/>
        <item x="392"/>
        <item x="290"/>
        <item x="679"/>
        <item x="496"/>
        <item x="424"/>
        <item x="169"/>
        <item x="628"/>
        <item x="516"/>
        <item x="678"/>
        <item x="634"/>
        <item x="235"/>
        <item x="187"/>
        <item x="601"/>
        <item x="565"/>
        <item x="291"/>
        <item x="447"/>
        <item x="382"/>
        <item x="657"/>
        <item x="253"/>
        <item x="81"/>
        <item x="613"/>
        <item x="324"/>
        <item x="154"/>
        <item x="53"/>
        <item x="305"/>
        <item x="225"/>
        <item x="60"/>
        <item x="334"/>
        <item x="167"/>
        <item x="589"/>
        <item x="140"/>
        <item x="266"/>
        <item x="11"/>
        <item x="295"/>
        <item x="380"/>
        <item x="413"/>
        <item x="23"/>
        <item x="34"/>
        <item x="396"/>
        <item x="378"/>
        <item x="494"/>
        <item x="241"/>
        <item x="554"/>
        <item x="3"/>
        <item x="499"/>
        <item x="575"/>
        <item x="459"/>
        <item x="677"/>
        <item x="464"/>
        <item x="510"/>
        <item x="199"/>
        <item x="503"/>
        <item x="562"/>
        <item x="270"/>
        <item x="433"/>
        <item x="124"/>
        <item x="298"/>
        <item x="137"/>
        <item x="165"/>
        <item x="232"/>
        <item x="375"/>
        <item x="95"/>
        <item x="134"/>
        <item x="582"/>
        <item x="662"/>
        <item x="393"/>
        <item x="172"/>
        <item x="534"/>
        <item x="287"/>
        <item x="206"/>
        <item x="663"/>
        <item x="578"/>
        <item x="208"/>
        <item x="483"/>
        <item x="517"/>
        <item x="309"/>
        <item x="9"/>
        <item x="480"/>
        <item x="257"/>
        <item x="247"/>
        <item x="406"/>
        <item x="580"/>
        <item x="542"/>
        <item x="20"/>
        <item x="341"/>
        <item x="195"/>
        <item x="477"/>
        <item x="223"/>
        <item x="541"/>
        <item x="340"/>
        <item x="138"/>
        <item x="455"/>
        <item x="297"/>
        <item x="96"/>
        <item x="17"/>
        <item x="21"/>
        <item x="15"/>
        <item x="630"/>
        <item x="491"/>
        <item x="555"/>
        <item x="299"/>
        <item x="76"/>
        <item x="296"/>
        <item x="179"/>
        <item x="574"/>
        <item x="242"/>
        <item x="191"/>
        <item x="567"/>
        <item x="588"/>
        <item x="221"/>
        <item x="278"/>
        <item x="355"/>
        <item x="162"/>
        <item x="364"/>
        <item x="104"/>
        <item x="349"/>
        <item x="535"/>
        <item x="147"/>
        <item x="360"/>
        <item x="446"/>
        <item x="419"/>
        <item x="303"/>
        <item x="399"/>
        <item x="651"/>
        <item x="152"/>
        <item x="576"/>
        <item x="345"/>
        <item x="646"/>
        <item x="638"/>
        <item x="68"/>
        <item x="166"/>
        <item x="398"/>
        <item x="322"/>
        <item x="109"/>
        <item x="5"/>
        <item x="421"/>
        <item x="526"/>
        <item x="22"/>
        <item x="310"/>
        <item x="80"/>
        <item x="546"/>
        <item x="43"/>
        <item x="27"/>
        <item x="456"/>
        <item x="311"/>
        <item x="512"/>
        <item x="590"/>
        <item x="31"/>
        <item x="249"/>
        <item x="343"/>
        <item x="544"/>
        <item x="353"/>
        <item x="103"/>
        <item x="86"/>
        <item x="87"/>
        <item x="288"/>
        <item x="461"/>
        <item x="18"/>
        <item x="37"/>
        <item x="669"/>
        <item x="78"/>
        <item x="373"/>
        <item x="180"/>
        <item x="357"/>
        <item x="255"/>
        <item x="666"/>
        <item x="251"/>
        <item x="79"/>
        <item x="593"/>
        <item x="604"/>
        <item x="308"/>
        <item x="184"/>
        <item x="654"/>
        <item x="120"/>
        <item x="571"/>
        <item x="627"/>
        <item x="347"/>
        <item x="207"/>
        <item x="151"/>
        <item x="326"/>
        <item x="220"/>
        <item x="246"/>
        <item x="600"/>
        <item x="374"/>
        <item x="24"/>
        <item x="609"/>
        <item x="361"/>
        <item x="131"/>
        <item x="13"/>
        <item x="238"/>
        <item x="458"/>
        <item x="629"/>
        <item x="62"/>
        <item x="626"/>
        <item x="250"/>
        <item x="88"/>
        <item x="643"/>
        <item x="281"/>
        <item x="8"/>
        <item x="514"/>
        <item x="558"/>
        <item x="73"/>
        <item x="568"/>
        <item x="583"/>
        <item x="620"/>
        <item x="594"/>
        <item x="468"/>
        <item x="256"/>
        <item x="102"/>
        <item x="74"/>
        <item x="430"/>
        <item x="532"/>
        <item x="671"/>
        <item x="653"/>
        <item x="493"/>
        <item x="98"/>
        <item x="28"/>
        <item x="672"/>
        <item x="584"/>
        <item x="286"/>
        <item x="524"/>
        <item x="350"/>
        <item x="528"/>
        <item x="511"/>
        <item x="293"/>
        <item x="330"/>
        <item x="548"/>
        <item x="520"/>
        <item x="263"/>
        <item x="201"/>
        <item x="262"/>
        <item x="48"/>
        <item x="254"/>
        <item x="385"/>
        <item x="121"/>
        <item x="434"/>
        <item x="279"/>
        <item x="623"/>
        <item x="97"/>
        <item x="498"/>
        <item x="171"/>
        <item x="667"/>
        <item x="105"/>
        <item x="463"/>
        <item x="436"/>
        <item x="41"/>
        <item x="358"/>
        <item x="552"/>
        <item x="673"/>
        <item x="7"/>
        <item x="497"/>
        <item x="543"/>
        <item x="561"/>
        <item x="659"/>
        <item x="507"/>
        <item x="335"/>
        <item x="418"/>
        <item x="549"/>
        <item x="595"/>
        <item x="136"/>
        <item x="174"/>
        <item x="605"/>
        <item x="572"/>
        <item x="519"/>
        <item x="337"/>
        <item x="404"/>
        <item x="159"/>
        <item x="14"/>
        <item x="338"/>
        <item x="470"/>
        <item x="476"/>
        <item x="224"/>
        <item x="153"/>
        <item x="597"/>
        <item x="556"/>
        <item x="449"/>
        <item x="633"/>
        <item x="91"/>
        <item x="391"/>
        <item x="495"/>
        <item x="502"/>
        <item x="77"/>
        <item x="420"/>
        <item x="489"/>
        <item x="170"/>
        <item x="602"/>
        <item x="365"/>
        <item x="133"/>
        <item x="527"/>
        <item x="269"/>
        <item x="641"/>
        <item x="192"/>
        <item x="215"/>
        <item x="186"/>
        <item x="439"/>
        <item x="332"/>
        <item x="640"/>
        <item x="176"/>
        <item x="227"/>
        <item x="168"/>
        <item x="113"/>
        <item x="178"/>
        <item x="45"/>
        <item x="117"/>
        <item x="258"/>
        <item x="244"/>
        <item x="680"/>
        <item x="501"/>
        <item x="389"/>
        <item x="106"/>
        <item x="149"/>
        <item x="462"/>
        <item x="4"/>
        <item x="75"/>
        <item x="616"/>
        <item x="92"/>
        <item x="368"/>
        <item x="586"/>
        <item x="236"/>
        <item x="426"/>
        <item x="16"/>
        <item x="610"/>
        <item x="233"/>
        <item x="301"/>
        <item x="656"/>
        <item x="647"/>
        <item x="592"/>
        <item x="351"/>
        <item x="181"/>
        <item x="617"/>
        <item x="321"/>
        <item x="101"/>
        <item x="336"/>
        <item x="83"/>
        <item x="67"/>
        <item x="49"/>
        <item x="442"/>
        <item x="405"/>
        <item x="36"/>
        <item x="486"/>
        <item x="141"/>
        <item x="410"/>
        <item x="415"/>
        <item x="467"/>
        <item x="475"/>
        <item x="362"/>
        <item x="50"/>
        <item x="0"/>
        <item x="285"/>
        <item x="205"/>
        <item x="190"/>
        <item x="271"/>
        <item x="384"/>
        <item x="536"/>
        <item x="183"/>
        <item x="407"/>
        <item x="488"/>
        <item x="252"/>
        <item x="359"/>
        <item x="12"/>
        <item x="226"/>
        <item x="123"/>
        <item x="142"/>
        <item x="394"/>
        <item x="115"/>
        <item x="118"/>
        <item x="425"/>
        <item x="637"/>
        <item x="315"/>
        <item x="323"/>
        <item x="237"/>
        <item x="372"/>
        <item x="90"/>
        <item x="32"/>
        <item x="540"/>
        <item x="248"/>
        <item x="125"/>
        <item x="65"/>
        <item x="209"/>
        <item x="55"/>
        <item x="212"/>
        <item x="69"/>
        <item x="135"/>
        <item x="150"/>
        <item x="432"/>
        <item x="57"/>
        <item x="302"/>
        <item x="652"/>
        <item x="417"/>
        <item x="675"/>
        <item x="58"/>
        <item x="523"/>
        <item x="148"/>
        <item x="539"/>
        <item x="189"/>
        <item x="280"/>
        <item x="388"/>
        <item x="143"/>
        <item x="163"/>
        <item x="274"/>
        <item x="155"/>
        <item x="428"/>
        <item x="473"/>
        <item x="559"/>
        <item x="563"/>
        <item x="319"/>
        <item x="564"/>
        <item x="441"/>
        <item x="275"/>
        <item x="114"/>
        <item x="30"/>
        <item x="51"/>
        <item x="239"/>
        <item x="229"/>
        <item x="665"/>
        <item x="655"/>
        <item x="129"/>
        <item x="161"/>
        <item x="243"/>
        <item x="144"/>
        <item x="1"/>
        <item x="619"/>
        <item x="29"/>
        <item x="429"/>
        <item x="33"/>
        <item x="63"/>
        <item x="277"/>
        <item x="414"/>
        <item x="175"/>
        <item x="292"/>
        <item x="264"/>
        <item x="93"/>
        <item x="231"/>
        <item x="645"/>
        <item x="327"/>
        <item x="273"/>
        <item x="94"/>
        <item x="240"/>
        <item x="448"/>
        <item x="203"/>
        <item x="10"/>
        <item x="44"/>
        <item x="636"/>
        <item x="606"/>
        <item x="522"/>
        <item x="70"/>
        <item x="139"/>
        <item x="66"/>
        <item x="471"/>
        <item x="333"/>
        <item x="490"/>
        <item x="369"/>
        <item x="400"/>
        <item x="42"/>
        <item x="164"/>
        <item x="126"/>
        <item x="454"/>
        <item x="664"/>
        <item x="261"/>
        <item x="312"/>
        <item x="214"/>
        <item x="82"/>
        <item x="500"/>
        <item x="395"/>
        <item x="122"/>
        <item x="314"/>
        <item x="188"/>
        <item x="615"/>
        <item x="366"/>
        <item x="466"/>
        <item x="598"/>
        <item x="649"/>
        <item x="427"/>
        <item x="412"/>
        <item x="676"/>
        <item x="465"/>
        <item x="85"/>
        <item x="198"/>
        <item x="146"/>
        <item x="352"/>
        <item x="487"/>
        <item x="370"/>
        <item x="217"/>
        <item x="157"/>
        <item x="533"/>
        <item x="479"/>
        <item x="587"/>
        <item x="342"/>
        <item x="518"/>
        <item x="329"/>
        <item x="112"/>
        <item x="579"/>
        <item x="132"/>
        <item x="2"/>
        <item x="194"/>
        <item x="635"/>
        <item x="204"/>
        <item x="440"/>
        <item x="216"/>
        <item x="614"/>
        <item x="84"/>
        <item x="210"/>
        <item x="89"/>
        <item x="197"/>
        <item x="451"/>
        <item t="default"/>
      </items>
    </pivotField>
    <pivotField compact="0" showAll="0">
      <items count="249">
        <item x="104"/>
        <item x="163"/>
        <item x="245"/>
        <item x="152"/>
        <item x="240"/>
        <item x="237"/>
        <item x="110"/>
        <item x="85"/>
        <item x="171"/>
        <item x="238"/>
        <item x="78"/>
        <item x="185"/>
        <item x="79"/>
        <item x="218"/>
        <item x="123"/>
        <item x="76"/>
        <item x="18"/>
        <item x="32"/>
        <item x="0"/>
        <item x="91"/>
        <item x="196"/>
        <item x="186"/>
        <item x="120"/>
        <item x="192"/>
        <item x="55"/>
        <item x="182"/>
        <item x="166"/>
        <item x="93"/>
        <item x="229"/>
        <item x="227"/>
        <item x="28"/>
        <item x="71"/>
        <item x="60"/>
        <item x="88"/>
        <item x="41"/>
        <item x="204"/>
        <item x="13"/>
        <item x="173"/>
        <item x="24"/>
        <item x="235"/>
        <item x="25"/>
        <item x="2"/>
        <item x="20"/>
        <item x="4"/>
        <item x="176"/>
        <item x="222"/>
        <item x="50"/>
        <item x="239"/>
        <item x="230"/>
        <item x="109"/>
        <item x="219"/>
        <item x="5"/>
        <item x="234"/>
        <item x="70"/>
        <item x="51"/>
        <item x="233"/>
        <item x="211"/>
        <item x="138"/>
        <item x="58"/>
        <item x="83"/>
        <item x="157"/>
        <item x="118"/>
        <item x="34"/>
        <item x="228"/>
        <item x="59"/>
        <item x="188"/>
        <item x="73"/>
        <item x="184"/>
        <item x="221"/>
        <item x="246"/>
        <item x="223"/>
        <item x="111"/>
        <item x="29"/>
        <item x="247"/>
        <item x="8"/>
        <item x="33"/>
        <item x="86"/>
        <item x="167"/>
        <item x="122"/>
        <item x="187"/>
        <item x="142"/>
        <item x="57"/>
        <item x="89"/>
        <item x="169"/>
        <item x="137"/>
        <item x="16"/>
        <item x="226"/>
        <item x="119"/>
        <item x="183"/>
        <item x="243"/>
        <item x="203"/>
        <item x="149"/>
        <item x="242"/>
        <item x="174"/>
        <item x="53"/>
        <item x="74"/>
        <item x="80"/>
        <item x="212"/>
        <item x="81"/>
        <item x="105"/>
        <item x="191"/>
        <item x="49"/>
        <item x="37"/>
        <item x="215"/>
        <item x="165"/>
        <item x="96"/>
        <item x="62"/>
        <item x="156"/>
        <item x="14"/>
        <item x="95"/>
        <item x="10"/>
        <item x="206"/>
        <item x="39"/>
        <item x="17"/>
        <item x="170"/>
        <item x="112"/>
        <item x="178"/>
        <item x="131"/>
        <item x="179"/>
        <item x="125"/>
        <item x="134"/>
        <item x="97"/>
        <item x="65"/>
        <item x="35"/>
        <item x="7"/>
        <item x="38"/>
        <item x="107"/>
        <item x="77"/>
        <item x="193"/>
        <item x="68"/>
        <item x="141"/>
        <item x="231"/>
        <item x="145"/>
        <item x="72"/>
        <item x="102"/>
        <item x="220"/>
        <item x="99"/>
        <item x="232"/>
        <item x="19"/>
        <item x="121"/>
        <item x="82"/>
        <item x="194"/>
        <item x="208"/>
        <item x="11"/>
        <item x="115"/>
        <item x="26"/>
        <item x="44"/>
        <item x="48"/>
        <item x="154"/>
        <item x="103"/>
        <item x="56"/>
        <item x="15"/>
        <item x="132"/>
        <item x="209"/>
        <item x="9"/>
        <item x="140"/>
        <item x="101"/>
        <item x="113"/>
        <item x="12"/>
        <item x="22"/>
        <item x="217"/>
        <item x="172"/>
        <item x="213"/>
        <item x="100"/>
        <item x="197"/>
        <item x="63"/>
        <item x="66"/>
        <item x="158"/>
        <item x="21"/>
        <item x="87"/>
        <item x="236"/>
        <item x="181"/>
        <item x="106"/>
        <item x="241"/>
        <item x="205"/>
        <item x="40"/>
        <item x="210"/>
        <item x="36"/>
        <item x="214"/>
        <item x="45"/>
        <item x="61"/>
        <item x="201"/>
        <item x="189"/>
        <item x="108"/>
        <item x="244"/>
        <item x="207"/>
        <item x="6"/>
        <item x="31"/>
        <item x="124"/>
        <item x="3"/>
        <item x="98"/>
        <item x="161"/>
        <item x="175"/>
        <item x="54"/>
        <item x="146"/>
        <item x="225"/>
        <item x="153"/>
        <item x="195"/>
        <item x="64"/>
        <item x="92"/>
        <item x="43"/>
        <item x="67"/>
        <item x="216"/>
        <item x="90"/>
        <item x="160"/>
        <item x="94"/>
        <item x="202"/>
        <item x="1"/>
        <item x="52"/>
        <item x="159"/>
        <item x="116"/>
        <item x="42"/>
        <item x="69"/>
        <item x="133"/>
        <item x="190"/>
        <item x="135"/>
        <item x="84"/>
        <item x="128"/>
        <item x="46"/>
        <item x="177"/>
        <item x="30"/>
        <item x="147"/>
        <item x="47"/>
        <item x="126"/>
        <item x="180"/>
        <item x="117"/>
        <item x="136"/>
        <item x="198"/>
        <item x="200"/>
        <item x="144"/>
        <item x="143"/>
        <item x="114"/>
        <item x="168"/>
        <item x="155"/>
        <item x="151"/>
        <item x="130"/>
        <item x="27"/>
        <item x="139"/>
        <item x="129"/>
        <item x="150"/>
        <item x="224"/>
        <item x="162"/>
        <item x="199"/>
        <item x="164"/>
        <item x="75"/>
        <item x="148"/>
        <item x="23"/>
        <item x="127"/>
        <item t="default"/>
      </items>
    </pivotField>
    <pivotField compact="0" showAll="0">
      <items count="149">
        <item x="53"/>
        <item x="67"/>
        <item x="101"/>
        <item x="84"/>
        <item x="98"/>
        <item x="51"/>
        <item x="104"/>
        <item x="108"/>
        <item x="144"/>
        <item x="110"/>
        <item x="37"/>
        <item x="34"/>
        <item x="76"/>
        <item x="137"/>
        <item x="18"/>
        <item x="7"/>
        <item x="31"/>
        <item x="125"/>
        <item x="138"/>
        <item x="63"/>
        <item x="30"/>
        <item x="118"/>
        <item x="95"/>
        <item x="13"/>
        <item x="133"/>
        <item x="11"/>
        <item x="70"/>
        <item x="85"/>
        <item x="93"/>
        <item x="94"/>
        <item x="35"/>
        <item x="103"/>
        <item x="146"/>
        <item x="52"/>
        <item x="117"/>
        <item x="109"/>
        <item x="115"/>
        <item x="59"/>
        <item x="22"/>
        <item x="139"/>
        <item x="114"/>
        <item x="91"/>
        <item x="44"/>
        <item x="9"/>
        <item x="88"/>
        <item x="36"/>
        <item x="135"/>
        <item x="26"/>
        <item x="46"/>
        <item x="73"/>
        <item x="99"/>
        <item x="5"/>
        <item x="77"/>
        <item x="55"/>
        <item x="21"/>
        <item x="78"/>
        <item x="49"/>
        <item x="2"/>
        <item x="64"/>
        <item x="47"/>
        <item x="113"/>
        <item x="68"/>
        <item x="147"/>
        <item x="28"/>
        <item x="54"/>
        <item x="8"/>
        <item x="86"/>
        <item x="62"/>
        <item x="123"/>
        <item x="127"/>
        <item x="141"/>
        <item x="32"/>
        <item x="145"/>
        <item x="12"/>
        <item x="58"/>
        <item x="120"/>
        <item x="56"/>
        <item x="100"/>
        <item x="60"/>
        <item x="97"/>
        <item x="41"/>
        <item x="72"/>
        <item x="14"/>
        <item x="1"/>
        <item x="96"/>
        <item x="43"/>
        <item x="122"/>
        <item x="65"/>
        <item x="79"/>
        <item x="40"/>
        <item x="92"/>
        <item x="48"/>
        <item x="19"/>
        <item x="130"/>
        <item x="39"/>
        <item x="136"/>
        <item x="105"/>
        <item x="87"/>
        <item x="81"/>
        <item x="20"/>
        <item x="142"/>
        <item x="128"/>
        <item x="10"/>
        <item x="42"/>
        <item x="38"/>
        <item x="69"/>
        <item x="126"/>
        <item x="90"/>
        <item x="25"/>
        <item x="111"/>
        <item x="116"/>
        <item x="106"/>
        <item x="6"/>
        <item x="134"/>
        <item x="50"/>
        <item x="107"/>
        <item x="74"/>
        <item x="23"/>
        <item x="82"/>
        <item x="129"/>
        <item x="143"/>
        <item x="121"/>
        <item x="89"/>
        <item x="17"/>
        <item x="29"/>
        <item x="61"/>
        <item x="57"/>
        <item x="80"/>
        <item x="66"/>
        <item x="75"/>
        <item x="3"/>
        <item x="140"/>
        <item x="71"/>
        <item x="112"/>
        <item x="83"/>
        <item x="45"/>
        <item x="102"/>
        <item x="131"/>
        <item x="124"/>
        <item x="24"/>
        <item x="119"/>
        <item x="16"/>
        <item x="27"/>
        <item x="15"/>
        <item x="132"/>
        <item x="33"/>
        <item x="4"/>
        <item x="0"/>
        <item t="default"/>
      </items>
    </pivotField>
    <pivotField axis="axisRow" compact="0" showAll="0">
      <items count="5">
        <item x="1"/>
        <item x="2"/>
        <item x="0"/>
        <item x="3"/>
        <item t="default"/>
      </items>
    </pivotField>
    <pivotField compact="0" showAll="0">
      <items count="90">
        <item x="86"/>
        <item x="84"/>
        <item x="77"/>
        <item x="38"/>
        <item x="70"/>
        <item x="58"/>
        <item x="6"/>
        <item x="25"/>
        <item x="9"/>
        <item x="31"/>
        <item x="83"/>
        <item x="26"/>
        <item x="18"/>
        <item x="52"/>
        <item x="73"/>
        <item x="32"/>
        <item x="51"/>
        <item x="75"/>
        <item x="8"/>
        <item x="48"/>
        <item x="16"/>
        <item x="36"/>
        <item x="34"/>
        <item x="24"/>
        <item x="19"/>
        <item x="11"/>
        <item x="64"/>
        <item x="23"/>
        <item x="0"/>
        <item x="41"/>
        <item x="69"/>
        <item x="42"/>
        <item x="82"/>
        <item x="37"/>
        <item x="2"/>
        <item x="7"/>
        <item x="17"/>
        <item x="30"/>
        <item x="28"/>
        <item x="4"/>
        <item x="39"/>
        <item x="85"/>
        <item x="14"/>
        <item x="35"/>
        <item x="50"/>
        <item x="40"/>
        <item x="15"/>
        <item x="87"/>
        <item x="3"/>
        <item x="62"/>
        <item x="53"/>
        <item x="46"/>
        <item x="1"/>
        <item x="12"/>
        <item x="20"/>
        <item x="56"/>
        <item x="66"/>
        <item x="22"/>
        <item x="71"/>
        <item x="57"/>
        <item x="33"/>
        <item x="63"/>
        <item x="43"/>
        <item x="47"/>
        <item x="76"/>
        <item x="27"/>
        <item x="61"/>
        <item x="54"/>
        <item x="67"/>
        <item x="78"/>
        <item x="5"/>
        <item x="13"/>
        <item x="55"/>
        <item x="60"/>
        <item x="79"/>
        <item x="10"/>
        <item x="44"/>
        <item x="72"/>
        <item x="59"/>
        <item x="65"/>
        <item x="68"/>
        <item x="74"/>
        <item x="29"/>
        <item x="21"/>
        <item x="81"/>
        <item x="49"/>
        <item x="45"/>
        <item x="88"/>
        <item x="80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Passeng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62:D67" firstHeaderRow="1" firstDataRow="2" firstDataCol="1"/>
  <pivotFields count="13">
    <pivotField dataField="1" compact="0" showAll="0">
      <items count="8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4">
        <item x="1"/>
        <item x="2"/>
        <item x="0"/>
        <item t="default"/>
      </items>
    </pivotField>
    <pivotField compact="0" showAll="0">
      <items count="892">
        <item x="845"/>
        <item x="746"/>
        <item x="279"/>
        <item x="308"/>
        <item x="874"/>
        <item x="365"/>
        <item x="401"/>
        <item x="40"/>
        <item x="855"/>
        <item x="207"/>
        <item x="810"/>
        <item x="840"/>
        <item x="210"/>
        <item x="784"/>
        <item x="730"/>
        <item x="4"/>
        <item x="305"/>
        <item x="297"/>
        <item x="498"/>
        <item x="834"/>
        <item x="192"/>
        <item x="460"/>
        <item x="850"/>
        <item x="813"/>
        <item x="119"/>
        <item x="68"/>
        <item x="541"/>
        <item x="542"/>
        <item x="13"/>
        <item x="146"/>
        <item x="610"/>
        <item x="91"/>
        <item x="144"/>
        <item x="275"/>
        <item x="806"/>
        <item x="518"/>
        <item x="571"/>
        <item x="353"/>
        <item x="49"/>
        <item x="493"/>
        <item x="363"/>
        <item x="182"/>
        <item x="261"/>
        <item x="233"/>
        <item x="25"/>
        <item x="700"/>
        <item x="114"/>
        <item x="244"/>
        <item x="369"/>
        <item x="833"/>
        <item x="780"/>
        <item x="206"/>
        <item x="85"/>
        <item x="644"/>
        <item x="469"/>
        <item x="448"/>
        <item x="858"/>
        <item x="661"/>
        <item x="757"/>
        <item x="870"/>
        <item x="327"/>
        <item x="883"/>
        <item x="762"/>
        <item x="702"/>
        <item x="362"/>
        <item x="290"/>
        <item x="630"/>
        <item x="112"/>
        <item x="150"/>
        <item x="168"/>
        <item x="118"/>
        <item x="299"/>
        <item x="218"/>
        <item x="543"/>
        <item x="546"/>
        <item x="372"/>
        <item x="183"/>
        <item x="618"/>
        <item x="248"/>
        <item x="871"/>
        <item x="21"/>
        <item x="889"/>
        <item x="162"/>
        <item x="225"/>
        <item x="733"/>
        <item x="378"/>
        <item x="380"/>
        <item x="74"/>
        <item x="408"/>
        <item x="484"/>
        <item x="291"/>
        <item x="269"/>
        <item x="430"/>
        <item x="339"/>
        <item x="209"/>
        <item x="11"/>
        <item x="628"/>
        <item x="852"/>
        <item x="598"/>
        <item x="140"/>
        <item x="593"/>
        <item x="188"/>
        <item x="657"/>
        <item x="624"/>
        <item x="356"/>
        <item x="221"/>
        <item x="507"/>
        <item x="477"/>
        <item x="0"/>
        <item x="766"/>
        <item x="614"/>
        <item x="345"/>
        <item x="684"/>
        <item x="194"/>
        <item x="670"/>
        <item x="728"/>
        <item x="143"/>
        <item x="337"/>
        <item x="387"/>
        <item x="666"/>
        <item x="536"/>
        <item x="149"/>
        <item x="865"/>
        <item x="534"/>
        <item x="471"/>
        <item x="270"/>
        <item x="707"/>
        <item x="78"/>
        <item x="323"/>
        <item x="163"/>
        <item x="500"/>
        <item x="211"/>
        <item x="466"/>
        <item x="501"/>
        <item x="37"/>
        <item x="578"/>
        <item x="191"/>
        <item x="679"/>
        <item x="756"/>
        <item x="872"/>
        <item x="208"/>
        <item x="83"/>
        <item x="802"/>
        <item x="435"/>
        <item x="390"/>
        <item x="854"/>
        <item x="763"/>
        <item x="249"/>
        <item x="741"/>
        <item x="89"/>
        <item x="92"/>
        <item x="724"/>
        <item x="809"/>
        <item x="695"/>
        <item x="594"/>
        <item x="421"/>
        <item x="257"/>
        <item x="166"/>
        <item x="838"/>
        <item x="90"/>
        <item x="580"/>
        <item x="73"/>
        <item x="426"/>
        <item x="708"/>
        <item x="475"/>
        <item x="131"/>
        <item x="204"/>
        <item x="663"/>
        <item x="514"/>
        <item x="242"/>
        <item x="342"/>
        <item x="662"/>
        <item x="237"/>
        <item x="637"/>
        <item x="801"/>
        <item x="835"/>
        <item x="749"/>
        <item x="289"/>
        <item x="116"/>
        <item x="668"/>
        <item x="646"/>
        <item x="157"/>
        <item x="489"/>
        <item x="348"/>
        <item x="94"/>
        <item x="67"/>
        <item x="160"/>
        <item x="745"/>
        <item x="540"/>
        <item x="844"/>
        <item x="1"/>
        <item x="413"/>
        <item x="338"/>
        <item x="882"/>
        <item x="687"/>
        <item x="510"/>
        <item x="857"/>
        <item x="616"/>
        <item x="423"/>
        <item x="607"/>
        <item x="321"/>
        <item x="794"/>
        <item x="671"/>
        <item x="549"/>
        <item x="565"/>
        <item x="385"/>
        <item x="635"/>
        <item x="347"/>
        <item x="559"/>
        <item x="286"/>
        <item x="282"/>
        <item x="788"/>
        <item x="93"/>
        <item x="361"/>
        <item x="335"/>
        <item x="320"/>
        <item x="44"/>
        <item x="690"/>
        <item x="781"/>
        <item x="349"/>
        <item x="445"/>
        <item x="568"/>
        <item x="651"/>
        <item x="98"/>
        <item x="890"/>
        <item x="283"/>
        <item x="544"/>
        <item x="79"/>
        <item x="582"/>
        <item x="130"/>
        <item x="416"/>
        <item x="280"/>
        <item x="556"/>
        <item x="599"/>
        <item x="866"/>
        <item x="675"/>
        <item x="658"/>
        <item x="764"/>
        <item x="129"/>
        <item x="773"/>
        <item x="532"/>
        <item x="352"/>
        <item x="592"/>
        <item x="777"/>
        <item x="26"/>
        <item x="716"/>
        <item x="496"/>
        <item x="228"/>
        <item x="525"/>
        <item x="527"/>
        <item x="53"/>
        <item x="688"/>
        <item x="306"/>
        <item x="428"/>
        <item x="825"/>
        <item x="572"/>
        <item x="643"/>
        <item x="436"/>
        <item x="147"/>
        <item x="86"/>
        <item x="736"/>
        <item x="452"/>
        <item x="341"/>
        <item x="88"/>
        <item x="27"/>
        <item x="438"/>
        <item x="344"/>
        <item x="309"/>
        <item x="660"/>
        <item x="334"/>
        <item x="539"/>
        <item x="587"/>
        <item x="481"/>
        <item x="815"/>
        <item x="357"/>
        <item x="137"/>
        <item x="3"/>
        <item x="20"/>
        <item x="405"/>
        <item x="703"/>
        <item x="760"/>
        <item x="576"/>
        <item x="791"/>
        <item x="619"/>
        <item x="462"/>
        <item x="420"/>
        <item x="139"/>
        <item x="861"/>
        <item x="588"/>
        <item x="864"/>
        <item x="722"/>
        <item x="156"/>
        <item x="213"/>
        <item x="32"/>
        <item x="453"/>
        <item x="849"/>
        <item x="96"/>
        <item x="165"/>
        <item x="548"/>
        <item x="328"/>
        <item x="465"/>
        <item x="480"/>
        <item x="386"/>
        <item x="59"/>
        <item x="71"/>
        <item x="683"/>
        <item x="678"/>
        <item x="887"/>
        <item x="332"/>
        <item x="268"/>
        <item x="222"/>
        <item x="714"/>
        <item x="97"/>
        <item x="769"/>
        <item x="789"/>
        <item x="876"/>
        <item x="104"/>
        <item x="392"/>
        <item x="379"/>
        <item x="293"/>
        <item x="451"/>
        <item x="490"/>
        <item x="403"/>
        <item x="142"/>
        <item x="178"/>
        <item x="755"/>
        <item x="247"/>
        <item x="441"/>
        <item x="296"/>
        <item x="860"/>
        <item x="704"/>
        <item x="623"/>
        <item x="370"/>
        <item x="235"/>
        <item x="785"/>
        <item x="720"/>
        <item x="645"/>
        <item x="52"/>
        <item x="848"/>
        <item x="602"/>
        <item x="570"/>
        <item x="62"/>
        <item x="219"/>
        <item x="230"/>
        <item x="263"/>
        <item x="535"/>
        <item x="314"/>
        <item x="411"/>
        <item x="440"/>
        <item x="681"/>
        <item x="731"/>
        <item x="740"/>
        <item x="310"/>
        <item x="820"/>
        <item x="274"/>
        <item x="804"/>
        <item x="654"/>
        <item x="2"/>
        <item x="816"/>
        <item x="313"/>
        <item x="264"/>
        <item x="615"/>
        <item x="754"/>
        <item x="15"/>
        <item x="655"/>
        <item x="665"/>
        <item x="120"/>
        <item x="329"/>
        <item x="523"/>
        <item x="479"/>
        <item x="529"/>
        <item x="774"/>
        <item x="723"/>
        <item x="765"/>
        <item x="236"/>
        <item x="818"/>
        <item x="35"/>
        <item x="383"/>
        <item x="604"/>
        <item x="216"/>
        <item x="72"/>
        <item x="613"/>
        <item x="288"/>
        <item x="224"/>
        <item x="793"/>
        <item x="486"/>
        <item x="699"/>
        <item x="239"/>
        <item x="798"/>
        <item x="61"/>
        <item x="84"/>
        <item x="729"/>
        <item x="177"/>
        <item x="738"/>
        <item x="217"/>
        <item x="600"/>
        <item x="455"/>
        <item x="391"/>
        <item x="611"/>
        <item x="586"/>
        <item x="70"/>
        <item x="640"/>
        <item x="771"/>
        <item x="721"/>
        <item x="368"/>
        <item x="473"/>
        <item x="444"/>
        <item x="202"/>
        <item x="395"/>
        <item x="103"/>
        <item x="805"/>
        <item x="869"/>
        <item x="172"/>
        <item x="597"/>
        <item x="719"/>
        <item x="302"/>
        <item x="8"/>
        <item x="888"/>
        <item x="783"/>
        <item x="753"/>
        <item x="569"/>
        <item x="113"/>
        <item x="402"/>
        <item x="579"/>
        <item x="433"/>
        <item x="652"/>
        <item x="99"/>
        <item x="316"/>
        <item x="606"/>
        <item x="478"/>
        <item x="691"/>
        <item x="524"/>
        <item x="303"/>
        <item x="790"/>
        <item x="470"/>
        <item x="300"/>
        <item x="573"/>
        <item x="696"/>
        <item x="706"/>
        <item x="487"/>
        <item x="457"/>
        <item x="214"/>
        <item x="778"/>
        <item x="621"/>
        <item x="69"/>
        <item x="184"/>
        <item x="626"/>
        <item x="711"/>
        <item x="175"/>
        <item x="732"/>
        <item x="42"/>
        <item x="439"/>
        <item x="522"/>
        <item x="312"/>
        <item x="503"/>
        <item x="878"/>
        <item x="692"/>
        <item x="826"/>
        <item x="376"/>
        <item x="509"/>
        <item x="43"/>
        <item x="685"/>
        <item x="608"/>
        <item x="713"/>
        <item x="231"/>
        <item x="796"/>
        <item x="553"/>
        <item x="176"/>
        <item x="409"/>
        <item x="485"/>
        <item x="229"/>
        <item x="389"/>
        <item x="636"/>
        <item x="596"/>
        <item x="843"/>
        <item x="516"/>
        <item x="46"/>
        <item x="179"/>
        <item x="537"/>
        <item x="811"/>
        <item x="737"/>
        <item x="292"/>
        <item x="295"/>
        <item x="234"/>
        <item x="770"/>
        <item x="246"/>
        <item x="276"/>
        <item x="605"/>
        <item x="664"/>
        <item x="853"/>
        <item x="169"/>
        <item x="253"/>
        <item x="617"/>
        <item x="782"/>
        <item x="627"/>
        <item x="432"/>
        <item x="227"/>
        <item x="821"/>
        <item x="631"/>
        <item x="195"/>
        <item x="772"/>
        <item x="198"/>
        <item x="689"/>
        <item x="127"/>
        <item x="243"/>
        <item x="504"/>
        <item x="464"/>
        <item x="827"/>
        <item x="817"/>
        <item x="36"/>
        <item x="767"/>
        <item x="727"/>
        <item x="839"/>
        <item x="847"/>
        <item x="881"/>
        <item x="748"/>
        <item x="19"/>
        <item x="418"/>
        <item x="710"/>
        <item x="6"/>
        <item x="828"/>
        <item x="330"/>
        <item x="301"/>
        <item x="82"/>
        <item x="718"/>
        <item x="512"/>
        <item x="358"/>
        <item x="22"/>
        <item x="397"/>
        <item x="126"/>
        <item x="743"/>
        <item x="564"/>
        <item x="415"/>
        <item x="446"/>
        <item x="272"/>
        <item x="226"/>
        <item x="152"/>
        <item x="196"/>
        <item x="808"/>
        <item x="34"/>
        <item x="375"/>
        <item x="456"/>
        <item x="463"/>
        <item x="245"/>
        <item x="412"/>
        <item x="294"/>
        <item x="105"/>
        <item x="672"/>
        <item x="650"/>
        <item x="359"/>
        <item x="75"/>
        <item x="492"/>
        <item x="886"/>
        <item x="751"/>
        <item x="823"/>
        <item x="121"/>
        <item x="109"/>
        <item x="768"/>
        <item x="5"/>
        <item x="317"/>
        <item x="705"/>
        <item x="461"/>
        <item x="560"/>
        <item x="107"/>
        <item x="65"/>
        <item x="709"/>
        <item x="367"/>
        <item x="77"/>
        <item x="841"/>
        <item x="697"/>
        <item x="589"/>
        <item x="241"/>
        <item x="612"/>
        <item x="775"/>
        <item x="287"/>
        <item x="875"/>
        <item x="381"/>
        <item x="622"/>
        <item x="739"/>
        <item x="122"/>
        <item x="9"/>
        <item x="273"/>
        <item x="340"/>
        <item x="193"/>
        <item x="148"/>
        <item x="223"/>
        <item x="215"/>
        <item x="393"/>
        <item x="659"/>
        <item x="136"/>
        <item x="145"/>
        <item x="545"/>
        <item x="125"/>
        <item x="39"/>
        <item x="315"/>
        <item x="761"/>
        <item x="400"/>
        <item x="562"/>
        <item x="51"/>
        <item x="57"/>
        <item x="66"/>
        <item x="141"/>
        <item x="326"/>
        <item x="364"/>
        <item x="552"/>
        <item x="186"/>
        <item x="629"/>
        <item x="459"/>
        <item x="350"/>
        <item x="47"/>
        <item x="28"/>
        <item x="554"/>
        <item x="653"/>
        <item x="508"/>
        <item x="197"/>
        <item x="154"/>
        <item x="396"/>
        <item x="281"/>
        <item x="682"/>
        <item x="404"/>
        <item x="725"/>
        <item x="138"/>
        <item x="797"/>
        <item x="54"/>
        <item x="502"/>
        <item x="795"/>
        <item x="547"/>
        <item x="398"/>
        <item x="7"/>
        <item x="374"/>
        <item x="24"/>
        <item x="567"/>
        <item x="164"/>
        <item x="50"/>
        <item x="824"/>
        <item x="266"/>
        <item x="686"/>
        <item x="638"/>
        <item x="277"/>
        <item x="633"/>
        <item x="259"/>
        <item x="331"/>
        <item x="836"/>
        <item x="575"/>
        <item x="584"/>
        <item x="519"/>
        <item x="336"/>
        <item x="151"/>
        <item x="454"/>
        <item x="115"/>
        <item x="505"/>
        <item x="307"/>
        <item x="238"/>
        <item x="212"/>
        <item x="181"/>
        <item x="520"/>
        <item x="267"/>
        <item x="128"/>
        <item x="533"/>
        <item x="680"/>
        <item x="100"/>
        <item x="877"/>
        <item x="101"/>
        <item x="442"/>
        <item x="807"/>
        <item x="449"/>
        <item x="427"/>
        <item x="429"/>
        <item x="190"/>
        <item x="384"/>
        <item x="800"/>
        <item x="110"/>
        <item x="879"/>
        <item x="530"/>
        <item x="506"/>
        <item x="656"/>
        <item x="859"/>
        <item x="250"/>
        <item x="265"/>
        <item x="108"/>
        <item x="476"/>
        <item x="726"/>
        <item x="822"/>
        <item x="443"/>
        <item x="171"/>
        <item x="278"/>
        <item x="16"/>
        <item x="787"/>
        <item x="885"/>
        <item x="135"/>
        <item x="831"/>
        <item x="407"/>
        <item x="437"/>
        <item x="526"/>
        <item x="373"/>
        <item x="590"/>
        <item x="538"/>
        <item x="557"/>
        <item x="779"/>
        <item x="132"/>
        <item x="867"/>
        <item x="45"/>
        <item x="187"/>
        <item x="667"/>
        <item x="185"/>
        <item x="424"/>
        <item x="254"/>
        <item x="583"/>
        <item x="759"/>
        <item x="513"/>
        <item x="482"/>
        <item x="56"/>
        <item x="574"/>
        <item x="517"/>
        <item x="311"/>
        <item x="742"/>
        <item x="832"/>
        <item x="693"/>
        <item x="298"/>
        <item x="388"/>
        <item x="159"/>
        <item x="180"/>
        <item x="863"/>
        <item x="792"/>
        <item x="846"/>
        <item x="201"/>
        <item x="324"/>
        <item x="641"/>
        <item x="106"/>
        <item x="528"/>
        <item x="48"/>
        <item x="10"/>
        <item x="394"/>
        <item x="12"/>
        <item x="676"/>
        <item x="468"/>
        <item x="410"/>
        <item x="343"/>
        <item x="842"/>
        <item x="447"/>
        <item x="551"/>
        <item x="81"/>
        <item x="497"/>
        <item x="880"/>
        <item x="95"/>
        <item x="609"/>
        <item x="417"/>
        <item x="701"/>
        <item x="434"/>
        <item x="577"/>
        <item x="563"/>
        <item x="647"/>
        <item x="747"/>
        <item x="60"/>
        <item x="837"/>
        <item x="561"/>
        <item x="173"/>
        <item x="786"/>
        <item x="232"/>
        <item x="63"/>
        <item x="819"/>
        <item x="634"/>
        <item x="642"/>
        <item x="360"/>
        <item x="167"/>
        <item x="601"/>
        <item x="322"/>
        <item x="812"/>
        <item x="87"/>
        <item x="23"/>
        <item x="467"/>
        <item x="158"/>
        <item x="346"/>
        <item x="174"/>
        <item x="284"/>
        <item x="260"/>
        <item x="134"/>
        <item x="715"/>
        <item x="488"/>
        <item x="319"/>
        <item x="31"/>
        <item x="632"/>
        <item x="76"/>
        <item x="285"/>
        <item x="649"/>
        <item x="494"/>
        <item x="252"/>
        <item x="591"/>
        <item x="64"/>
        <item x="829"/>
        <item x="566"/>
        <item x="474"/>
        <item x="744"/>
        <item x="205"/>
        <item x="251"/>
        <item x="220"/>
        <item x="414"/>
        <item x="884"/>
        <item x="625"/>
        <item x="851"/>
        <item x="499"/>
        <item x="862"/>
        <item x="585"/>
        <item x="262"/>
        <item x="558"/>
        <item x="712"/>
        <item x="669"/>
        <item x="698"/>
        <item x="550"/>
        <item x="581"/>
        <item x="758"/>
        <item x="803"/>
        <item x="256"/>
        <item x="639"/>
        <item x="431"/>
        <item x="382"/>
        <item x="776"/>
        <item x="29"/>
        <item x="814"/>
        <item x="458"/>
        <item x="603"/>
        <item x="271"/>
        <item x="531"/>
        <item x="255"/>
        <item x="734"/>
        <item x="399"/>
        <item x="717"/>
        <item x="189"/>
        <item x="677"/>
        <item x="483"/>
        <item x="117"/>
        <item x="41"/>
        <item x="30"/>
        <item x="153"/>
        <item x="170"/>
        <item x="419"/>
        <item x="595"/>
        <item x="799"/>
        <item x="868"/>
        <item x="752"/>
        <item x="200"/>
        <item x="355"/>
        <item x="873"/>
        <item x="38"/>
        <item x="333"/>
        <item x="18"/>
        <item x="14"/>
        <item x="521"/>
        <item x="80"/>
        <item x="515"/>
        <item x="258"/>
        <item x="366"/>
        <item x="674"/>
        <item x="161"/>
        <item x="123"/>
        <item x="511"/>
        <item x="694"/>
        <item x="133"/>
        <item x="750"/>
        <item x="58"/>
        <item x="450"/>
        <item x="472"/>
        <item x="33"/>
        <item x="124"/>
        <item x="102"/>
        <item x="318"/>
        <item x="856"/>
        <item x="406"/>
        <item x="377"/>
        <item x="371"/>
        <item x="673"/>
        <item x="648"/>
        <item x="155"/>
        <item x="17"/>
        <item x="304"/>
        <item x="735"/>
        <item x="351"/>
        <item x="491"/>
        <item x="425"/>
        <item x="55"/>
        <item x="555"/>
        <item x="620"/>
        <item x="830"/>
        <item x="325"/>
        <item x="203"/>
        <item x="354"/>
        <item x="495"/>
        <item x="199"/>
        <item x="111"/>
        <item x="240"/>
        <item x="422"/>
        <item t="default"/>
      </items>
    </pivotField>
    <pivotField axis="axisCol" compact="0" multipleItemSelectionAllowed="1" showAll="0">
      <items count="3">
        <item x="1"/>
        <item x="0"/>
        <item t="default"/>
      </items>
    </pivotField>
    <pivotField compact="0" showAll="0">
      <items count="90">
        <item x="86"/>
        <item x="84"/>
        <item x="77"/>
        <item x="38"/>
        <item x="70"/>
        <item x="58"/>
        <item x="6"/>
        <item x="25"/>
        <item x="9"/>
        <item x="31"/>
        <item x="83"/>
        <item x="26"/>
        <item x="18"/>
        <item x="52"/>
        <item x="73"/>
        <item x="32"/>
        <item x="51"/>
        <item x="75"/>
        <item x="8"/>
        <item x="48"/>
        <item x="16"/>
        <item x="36"/>
        <item x="34"/>
        <item x="24"/>
        <item x="19"/>
        <item x="11"/>
        <item x="64"/>
        <item x="23"/>
        <item x="0"/>
        <item x="41"/>
        <item x="69"/>
        <item x="42"/>
        <item x="82"/>
        <item x="37"/>
        <item x="2"/>
        <item x="7"/>
        <item x="17"/>
        <item x="30"/>
        <item x="28"/>
        <item x="39"/>
        <item x="85"/>
        <item x="14"/>
        <item x="35"/>
        <item x="50"/>
        <item x="40"/>
        <item x="15"/>
        <item x="87"/>
        <item x="3"/>
        <item x="62"/>
        <item x="53"/>
        <item x="46"/>
        <item x="1"/>
        <item x="12"/>
        <item x="20"/>
        <item x="56"/>
        <item x="66"/>
        <item x="22"/>
        <item x="71"/>
        <item x="57"/>
        <item x="33"/>
        <item x="63"/>
        <item x="43"/>
        <item x="47"/>
        <item x="76"/>
        <item x="27"/>
        <item x="61"/>
        <item x="54"/>
        <item x="67"/>
        <item x="78"/>
        <item x="5"/>
        <item x="13"/>
        <item x="55"/>
        <item x="60"/>
        <item x="79"/>
        <item x="10"/>
        <item x="44"/>
        <item x="72"/>
        <item x="59"/>
        <item x="65"/>
        <item x="68"/>
        <item x="74"/>
        <item x="29"/>
        <item x="21"/>
        <item x="81"/>
        <item x="49"/>
        <item x="45"/>
        <item x="88"/>
        <item x="80"/>
        <item x="4"/>
        <item t="default"/>
      </items>
    </pivotField>
    <pivotField compact="0" showAll="0">
      <items count="8">
        <item x="1"/>
        <item x="0"/>
        <item x="4"/>
        <item x="2"/>
        <item x="3"/>
        <item x="5"/>
        <item x="6"/>
        <item t="default"/>
      </items>
    </pivotField>
    <pivotField compact="0" showAll="0">
      <items count="8">
        <item x="0"/>
        <item x="1"/>
        <item x="2"/>
        <item x="4"/>
        <item x="5"/>
        <item x="3"/>
        <item x="6"/>
        <item t="default"/>
      </items>
    </pivotField>
    <pivotField compact="0" showAll="0">
      <items count="682">
        <item x="453"/>
        <item x="668"/>
        <item x="72"/>
        <item x="363"/>
        <item x="644"/>
        <item x="457"/>
        <item x="530"/>
        <item x="437"/>
        <item x="625"/>
        <item x="317"/>
        <item x="111"/>
        <item x="182"/>
        <item x="658"/>
        <item x="25"/>
        <item x="444"/>
        <item x="307"/>
        <item x="325"/>
        <item x="19"/>
        <item x="228"/>
        <item x="38"/>
        <item x="328"/>
        <item x="505"/>
        <item x="64"/>
        <item x="47"/>
        <item x="599"/>
        <item x="492"/>
        <item x="108"/>
        <item x="379"/>
        <item x="670"/>
        <item x="119"/>
        <item x="59"/>
        <item x="642"/>
        <item x="553"/>
        <item x="607"/>
        <item x="35"/>
        <item x="130"/>
        <item x="71"/>
        <item x="650"/>
        <item x="624"/>
        <item x="469"/>
        <item x="612"/>
        <item x="478"/>
        <item x="445"/>
        <item x="313"/>
        <item x="265"/>
        <item x="218"/>
        <item x="306"/>
        <item x="56"/>
        <item x="185"/>
        <item x="438"/>
        <item x="452"/>
        <item x="52"/>
        <item x="482"/>
        <item x="403"/>
        <item x="631"/>
        <item x="160"/>
        <item x="408"/>
        <item x="422"/>
        <item x="110"/>
        <item x="344"/>
        <item x="545"/>
        <item x="177"/>
        <item x="531"/>
        <item x="547"/>
        <item x="304"/>
        <item x="128"/>
        <item x="100"/>
        <item x="566"/>
        <item x="39"/>
        <item x="674"/>
        <item x="401"/>
        <item x="294"/>
        <item x="603"/>
        <item x="525"/>
        <item x="268"/>
        <item x="40"/>
        <item x="222"/>
        <item x="127"/>
        <item x="506"/>
        <item x="460"/>
        <item x="320"/>
        <item x="276"/>
        <item x="472"/>
        <item x="409"/>
        <item x="648"/>
        <item x="196"/>
        <item x="260"/>
        <item x="573"/>
        <item x="618"/>
        <item x="435"/>
        <item x="481"/>
        <item x="521"/>
        <item x="515"/>
        <item x="245"/>
        <item x="371"/>
        <item x="386"/>
        <item x="484"/>
        <item x="450"/>
        <item x="46"/>
        <item x="474"/>
        <item x="318"/>
        <item x="485"/>
        <item x="284"/>
        <item x="585"/>
        <item x="272"/>
        <item x="383"/>
        <item x="6"/>
        <item x="387"/>
        <item x="622"/>
        <item x="661"/>
        <item x="551"/>
        <item x="158"/>
        <item x="259"/>
        <item x="219"/>
        <item x="202"/>
        <item x="54"/>
        <item x="26"/>
        <item x="390"/>
        <item x="639"/>
        <item x="267"/>
        <item x="537"/>
        <item x="200"/>
        <item x="550"/>
        <item x="423"/>
        <item x="211"/>
        <item x="513"/>
        <item x="116"/>
        <item x="331"/>
        <item x="660"/>
        <item x="632"/>
        <item x="621"/>
        <item x="354"/>
        <item x="356"/>
        <item x="339"/>
        <item x="173"/>
        <item x="581"/>
        <item x="289"/>
        <item x="346"/>
        <item x="213"/>
        <item x="282"/>
        <item x="591"/>
        <item x="443"/>
        <item x="608"/>
        <item x="348"/>
        <item x="596"/>
        <item x="538"/>
        <item x="529"/>
        <item x="402"/>
        <item x="504"/>
        <item x="300"/>
        <item x="377"/>
        <item x="569"/>
        <item x="193"/>
        <item x="99"/>
        <item x="145"/>
        <item x="557"/>
        <item x="397"/>
        <item x="570"/>
        <item x="560"/>
        <item x="611"/>
        <item x="577"/>
        <item x="283"/>
        <item x="416"/>
        <item x="509"/>
        <item x="431"/>
        <item x="61"/>
        <item x="508"/>
        <item x="381"/>
        <item x="411"/>
        <item x="376"/>
        <item x="230"/>
        <item x="234"/>
        <item x="107"/>
        <item x="367"/>
        <item x="316"/>
        <item x="156"/>
        <item x="392"/>
        <item x="290"/>
        <item x="679"/>
        <item x="496"/>
        <item x="424"/>
        <item x="169"/>
        <item x="628"/>
        <item x="516"/>
        <item x="678"/>
        <item x="634"/>
        <item x="235"/>
        <item x="187"/>
        <item x="601"/>
        <item x="565"/>
        <item x="291"/>
        <item x="447"/>
        <item x="382"/>
        <item x="657"/>
        <item x="253"/>
        <item x="81"/>
        <item x="613"/>
        <item x="324"/>
        <item x="154"/>
        <item x="53"/>
        <item x="305"/>
        <item x="225"/>
        <item x="60"/>
        <item x="334"/>
        <item x="167"/>
        <item x="589"/>
        <item x="140"/>
        <item x="266"/>
        <item x="11"/>
        <item x="295"/>
        <item x="380"/>
        <item x="413"/>
        <item x="23"/>
        <item x="34"/>
        <item x="396"/>
        <item x="378"/>
        <item x="494"/>
        <item x="241"/>
        <item x="554"/>
        <item x="3"/>
        <item x="499"/>
        <item x="575"/>
        <item x="459"/>
        <item x="677"/>
        <item x="464"/>
        <item x="510"/>
        <item x="199"/>
        <item x="503"/>
        <item x="562"/>
        <item x="270"/>
        <item x="433"/>
        <item x="124"/>
        <item x="298"/>
        <item x="137"/>
        <item x="165"/>
        <item x="232"/>
        <item x="375"/>
        <item x="95"/>
        <item x="134"/>
        <item x="582"/>
        <item x="662"/>
        <item x="393"/>
        <item x="172"/>
        <item x="534"/>
        <item x="287"/>
        <item x="206"/>
        <item x="663"/>
        <item x="578"/>
        <item x="208"/>
        <item x="483"/>
        <item x="517"/>
        <item x="309"/>
        <item x="9"/>
        <item x="480"/>
        <item x="257"/>
        <item x="247"/>
        <item x="406"/>
        <item x="580"/>
        <item x="542"/>
        <item x="20"/>
        <item x="341"/>
        <item x="195"/>
        <item x="477"/>
        <item x="223"/>
        <item x="541"/>
        <item x="340"/>
        <item x="138"/>
        <item x="455"/>
        <item x="297"/>
        <item x="96"/>
        <item x="17"/>
        <item x="21"/>
        <item x="15"/>
        <item x="630"/>
        <item x="491"/>
        <item x="555"/>
        <item x="299"/>
        <item x="76"/>
        <item x="296"/>
        <item x="179"/>
        <item x="574"/>
        <item x="242"/>
        <item x="191"/>
        <item x="567"/>
        <item x="588"/>
        <item x="221"/>
        <item x="278"/>
        <item x="355"/>
        <item x="162"/>
        <item x="364"/>
        <item x="104"/>
        <item x="349"/>
        <item x="535"/>
        <item x="147"/>
        <item x="360"/>
        <item x="446"/>
        <item x="419"/>
        <item x="303"/>
        <item x="399"/>
        <item x="651"/>
        <item x="152"/>
        <item x="576"/>
        <item x="345"/>
        <item x="646"/>
        <item x="638"/>
        <item x="68"/>
        <item x="166"/>
        <item x="398"/>
        <item x="322"/>
        <item x="109"/>
        <item x="5"/>
        <item x="421"/>
        <item x="526"/>
        <item x="22"/>
        <item x="310"/>
        <item x="80"/>
        <item x="546"/>
        <item x="43"/>
        <item x="27"/>
        <item x="456"/>
        <item x="311"/>
        <item x="512"/>
        <item x="590"/>
        <item x="31"/>
        <item x="249"/>
        <item x="343"/>
        <item x="544"/>
        <item x="353"/>
        <item x="103"/>
        <item x="86"/>
        <item x="87"/>
        <item x="288"/>
        <item x="461"/>
        <item x="18"/>
        <item x="37"/>
        <item x="669"/>
        <item x="78"/>
        <item x="373"/>
        <item x="180"/>
        <item x="357"/>
        <item x="255"/>
        <item x="666"/>
        <item x="251"/>
        <item x="79"/>
        <item x="593"/>
        <item x="604"/>
        <item x="308"/>
        <item x="184"/>
        <item x="654"/>
        <item x="120"/>
        <item x="571"/>
        <item x="627"/>
        <item x="347"/>
        <item x="207"/>
        <item x="151"/>
        <item x="326"/>
        <item x="220"/>
        <item x="246"/>
        <item x="600"/>
        <item x="374"/>
        <item x="24"/>
        <item x="609"/>
        <item x="361"/>
        <item x="131"/>
        <item x="13"/>
        <item x="238"/>
        <item x="458"/>
        <item x="629"/>
        <item x="62"/>
        <item x="626"/>
        <item x="250"/>
        <item x="88"/>
        <item x="643"/>
        <item x="281"/>
        <item x="8"/>
        <item x="514"/>
        <item x="558"/>
        <item x="73"/>
        <item x="568"/>
        <item x="583"/>
        <item x="620"/>
        <item x="594"/>
        <item x="468"/>
        <item x="256"/>
        <item x="102"/>
        <item x="74"/>
        <item x="430"/>
        <item x="532"/>
        <item x="671"/>
        <item x="653"/>
        <item x="493"/>
        <item x="98"/>
        <item x="28"/>
        <item x="672"/>
        <item x="584"/>
        <item x="286"/>
        <item x="524"/>
        <item x="350"/>
        <item x="528"/>
        <item x="511"/>
        <item x="293"/>
        <item x="330"/>
        <item x="548"/>
        <item x="520"/>
        <item x="263"/>
        <item x="201"/>
        <item x="262"/>
        <item x="48"/>
        <item x="254"/>
        <item x="385"/>
        <item x="121"/>
        <item x="434"/>
        <item x="279"/>
        <item x="623"/>
        <item x="97"/>
        <item x="498"/>
        <item x="171"/>
        <item x="667"/>
        <item x="105"/>
        <item x="463"/>
        <item x="436"/>
        <item x="41"/>
        <item x="358"/>
        <item x="552"/>
        <item x="673"/>
        <item x="7"/>
        <item x="497"/>
        <item x="543"/>
        <item x="561"/>
        <item x="659"/>
        <item x="507"/>
        <item x="335"/>
        <item x="418"/>
        <item x="549"/>
        <item x="595"/>
        <item x="136"/>
        <item x="174"/>
        <item x="605"/>
        <item x="572"/>
        <item x="519"/>
        <item x="337"/>
        <item x="404"/>
        <item x="159"/>
        <item x="14"/>
        <item x="338"/>
        <item x="470"/>
        <item x="476"/>
        <item x="224"/>
        <item x="153"/>
        <item x="597"/>
        <item x="556"/>
        <item x="449"/>
        <item x="633"/>
        <item x="91"/>
        <item x="391"/>
        <item x="495"/>
        <item x="502"/>
        <item x="77"/>
        <item x="420"/>
        <item x="489"/>
        <item x="170"/>
        <item x="602"/>
        <item x="365"/>
        <item x="133"/>
        <item x="527"/>
        <item x="269"/>
        <item x="641"/>
        <item x="192"/>
        <item x="215"/>
        <item x="186"/>
        <item x="439"/>
        <item x="332"/>
        <item x="640"/>
        <item x="176"/>
        <item x="227"/>
        <item x="168"/>
        <item x="113"/>
        <item x="178"/>
        <item x="45"/>
        <item x="117"/>
        <item x="258"/>
        <item x="244"/>
        <item x="680"/>
        <item x="501"/>
        <item x="389"/>
        <item x="106"/>
        <item x="149"/>
        <item x="462"/>
        <item x="4"/>
        <item x="75"/>
        <item x="616"/>
        <item x="92"/>
        <item x="368"/>
        <item x="586"/>
        <item x="236"/>
        <item x="426"/>
        <item x="16"/>
        <item x="610"/>
        <item x="233"/>
        <item x="301"/>
        <item x="656"/>
        <item x="647"/>
        <item x="592"/>
        <item x="351"/>
        <item x="181"/>
        <item x="617"/>
        <item x="321"/>
        <item x="101"/>
        <item x="336"/>
        <item x="83"/>
        <item x="67"/>
        <item x="49"/>
        <item x="442"/>
        <item x="405"/>
        <item x="36"/>
        <item x="486"/>
        <item x="141"/>
        <item x="410"/>
        <item x="415"/>
        <item x="467"/>
        <item x="475"/>
        <item x="362"/>
        <item x="50"/>
        <item x="0"/>
        <item x="285"/>
        <item x="205"/>
        <item x="190"/>
        <item x="271"/>
        <item x="384"/>
        <item x="536"/>
        <item x="183"/>
        <item x="407"/>
        <item x="488"/>
        <item x="252"/>
        <item x="359"/>
        <item x="12"/>
        <item x="226"/>
        <item x="123"/>
        <item x="142"/>
        <item x="394"/>
        <item x="115"/>
        <item x="118"/>
        <item x="425"/>
        <item x="637"/>
        <item x="315"/>
        <item x="323"/>
        <item x="237"/>
        <item x="372"/>
        <item x="90"/>
        <item x="32"/>
        <item x="540"/>
        <item x="248"/>
        <item x="125"/>
        <item x="65"/>
        <item x="209"/>
        <item x="55"/>
        <item x="212"/>
        <item x="69"/>
        <item x="135"/>
        <item x="150"/>
        <item x="432"/>
        <item x="57"/>
        <item x="302"/>
        <item x="652"/>
        <item x="417"/>
        <item x="675"/>
        <item x="58"/>
        <item x="523"/>
        <item x="148"/>
        <item x="539"/>
        <item x="189"/>
        <item x="280"/>
        <item x="388"/>
        <item x="143"/>
        <item x="163"/>
        <item x="274"/>
        <item x="155"/>
        <item x="428"/>
        <item x="473"/>
        <item x="559"/>
        <item x="563"/>
        <item x="319"/>
        <item x="564"/>
        <item x="441"/>
        <item x="275"/>
        <item x="114"/>
        <item x="30"/>
        <item x="51"/>
        <item x="239"/>
        <item x="229"/>
        <item x="665"/>
        <item x="655"/>
        <item x="129"/>
        <item x="161"/>
        <item x="243"/>
        <item x="144"/>
        <item x="1"/>
        <item x="619"/>
        <item x="29"/>
        <item x="429"/>
        <item x="33"/>
        <item x="63"/>
        <item x="277"/>
        <item x="414"/>
        <item x="175"/>
        <item x="292"/>
        <item x="264"/>
        <item x="93"/>
        <item x="231"/>
        <item x="645"/>
        <item x="327"/>
        <item x="273"/>
        <item x="94"/>
        <item x="240"/>
        <item x="448"/>
        <item x="203"/>
        <item x="10"/>
        <item x="44"/>
        <item x="636"/>
        <item x="606"/>
        <item x="522"/>
        <item x="70"/>
        <item x="139"/>
        <item x="66"/>
        <item x="471"/>
        <item x="333"/>
        <item x="490"/>
        <item x="369"/>
        <item x="400"/>
        <item x="42"/>
        <item x="164"/>
        <item x="126"/>
        <item x="454"/>
        <item x="664"/>
        <item x="261"/>
        <item x="312"/>
        <item x="214"/>
        <item x="82"/>
        <item x="500"/>
        <item x="395"/>
        <item x="122"/>
        <item x="314"/>
        <item x="188"/>
        <item x="615"/>
        <item x="366"/>
        <item x="466"/>
        <item x="598"/>
        <item x="649"/>
        <item x="427"/>
        <item x="412"/>
        <item x="676"/>
        <item x="465"/>
        <item x="85"/>
        <item x="198"/>
        <item x="146"/>
        <item x="352"/>
        <item x="487"/>
        <item x="370"/>
        <item x="217"/>
        <item x="157"/>
        <item x="533"/>
        <item x="479"/>
        <item x="587"/>
        <item x="342"/>
        <item x="518"/>
        <item x="329"/>
        <item x="112"/>
        <item x="579"/>
        <item x="132"/>
        <item x="2"/>
        <item x="194"/>
        <item x="635"/>
        <item x="204"/>
        <item x="440"/>
        <item x="216"/>
        <item x="614"/>
        <item x="84"/>
        <item x="210"/>
        <item x="89"/>
        <item x="197"/>
        <item x="451"/>
        <item t="default"/>
      </items>
    </pivotField>
    <pivotField compact="0" showAll="0">
      <items count="249">
        <item x="104"/>
        <item x="163"/>
        <item x="245"/>
        <item x="152"/>
        <item x="240"/>
        <item x="237"/>
        <item x="110"/>
        <item x="85"/>
        <item x="171"/>
        <item x="238"/>
        <item x="78"/>
        <item x="185"/>
        <item x="79"/>
        <item x="218"/>
        <item x="123"/>
        <item x="76"/>
        <item x="18"/>
        <item x="32"/>
        <item x="0"/>
        <item x="91"/>
        <item x="196"/>
        <item x="186"/>
        <item x="120"/>
        <item x="192"/>
        <item x="55"/>
        <item x="182"/>
        <item x="166"/>
        <item x="93"/>
        <item x="229"/>
        <item x="227"/>
        <item x="28"/>
        <item x="71"/>
        <item x="60"/>
        <item x="88"/>
        <item x="41"/>
        <item x="204"/>
        <item x="13"/>
        <item x="173"/>
        <item x="24"/>
        <item x="235"/>
        <item x="25"/>
        <item x="2"/>
        <item x="20"/>
        <item x="4"/>
        <item x="176"/>
        <item x="222"/>
        <item x="50"/>
        <item x="239"/>
        <item x="230"/>
        <item x="109"/>
        <item x="219"/>
        <item x="5"/>
        <item x="234"/>
        <item x="70"/>
        <item x="51"/>
        <item x="233"/>
        <item x="211"/>
        <item x="138"/>
        <item x="58"/>
        <item x="83"/>
        <item x="157"/>
        <item x="118"/>
        <item x="34"/>
        <item x="228"/>
        <item x="59"/>
        <item x="188"/>
        <item x="73"/>
        <item x="184"/>
        <item x="221"/>
        <item x="246"/>
        <item x="223"/>
        <item x="111"/>
        <item x="29"/>
        <item x="247"/>
        <item x="8"/>
        <item x="33"/>
        <item x="86"/>
        <item x="167"/>
        <item x="122"/>
        <item x="187"/>
        <item x="142"/>
        <item x="57"/>
        <item x="89"/>
        <item x="169"/>
        <item x="137"/>
        <item x="16"/>
        <item x="226"/>
        <item x="119"/>
        <item x="183"/>
        <item x="243"/>
        <item x="203"/>
        <item x="149"/>
        <item x="242"/>
        <item x="174"/>
        <item x="53"/>
        <item x="74"/>
        <item x="80"/>
        <item x="212"/>
        <item x="81"/>
        <item x="105"/>
        <item x="191"/>
        <item x="49"/>
        <item x="37"/>
        <item x="215"/>
        <item x="165"/>
        <item x="96"/>
        <item x="62"/>
        <item x="156"/>
        <item x="14"/>
        <item x="95"/>
        <item x="10"/>
        <item x="206"/>
        <item x="39"/>
        <item x="17"/>
        <item x="170"/>
        <item x="112"/>
        <item x="178"/>
        <item x="131"/>
        <item x="179"/>
        <item x="125"/>
        <item x="134"/>
        <item x="97"/>
        <item x="65"/>
        <item x="35"/>
        <item x="7"/>
        <item x="38"/>
        <item x="107"/>
        <item x="77"/>
        <item x="193"/>
        <item x="68"/>
        <item x="141"/>
        <item x="231"/>
        <item x="145"/>
        <item x="72"/>
        <item x="102"/>
        <item x="220"/>
        <item x="99"/>
        <item x="232"/>
        <item x="19"/>
        <item x="121"/>
        <item x="82"/>
        <item x="194"/>
        <item x="208"/>
        <item x="11"/>
        <item x="115"/>
        <item x="26"/>
        <item x="44"/>
        <item x="48"/>
        <item x="154"/>
        <item x="103"/>
        <item x="56"/>
        <item x="15"/>
        <item x="132"/>
        <item x="209"/>
        <item x="9"/>
        <item x="140"/>
        <item x="101"/>
        <item x="113"/>
        <item x="12"/>
        <item x="22"/>
        <item x="217"/>
        <item x="172"/>
        <item x="213"/>
        <item x="100"/>
        <item x="197"/>
        <item x="63"/>
        <item x="66"/>
        <item x="158"/>
        <item x="21"/>
        <item x="87"/>
        <item x="236"/>
        <item x="181"/>
        <item x="106"/>
        <item x="241"/>
        <item x="205"/>
        <item x="40"/>
        <item x="210"/>
        <item x="36"/>
        <item x="214"/>
        <item x="45"/>
        <item x="61"/>
        <item x="201"/>
        <item x="189"/>
        <item x="108"/>
        <item x="244"/>
        <item x="207"/>
        <item x="6"/>
        <item x="31"/>
        <item x="124"/>
        <item x="3"/>
        <item x="98"/>
        <item x="161"/>
        <item x="175"/>
        <item x="54"/>
        <item x="146"/>
        <item x="225"/>
        <item x="153"/>
        <item x="195"/>
        <item x="64"/>
        <item x="92"/>
        <item x="43"/>
        <item x="67"/>
        <item x="216"/>
        <item x="90"/>
        <item x="160"/>
        <item x="94"/>
        <item x="202"/>
        <item x="1"/>
        <item x="52"/>
        <item x="159"/>
        <item x="116"/>
        <item x="42"/>
        <item x="69"/>
        <item x="133"/>
        <item x="190"/>
        <item x="135"/>
        <item x="84"/>
        <item x="128"/>
        <item x="46"/>
        <item x="177"/>
        <item x="30"/>
        <item x="147"/>
        <item x="47"/>
        <item x="126"/>
        <item x="180"/>
        <item x="117"/>
        <item x="136"/>
        <item x="198"/>
        <item x="200"/>
        <item x="144"/>
        <item x="143"/>
        <item x="114"/>
        <item x="168"/>
        <item x="155"/>
        <item x="151"/>
        <item x="130"/>
        <item x="27"/>
        <item x="139"/>
        <item x="129"/>
        <item x="150"/>
        <item x="224"/>
        <item x="162"/>
        <item x="199"/>
        <item x="164"/>
        <item x="75"/>
        <item x="148"/>
        <item x="23"/>
        <item x="127"/>
        <item t="default"/>
      </items>
    </pivotField>
    <pivotField compact="0" showAll="0">
      <items count="149">
        <item x="53"/>
        <item x="67"/>
        <item x="101"/>
        <item x="84"/>
        <item x="98"/>
        <item x="51"/>
        <item x="104"/>
        <item x="108"/>
        <item x="144"/>
        <item x="110"/>
        <item x="37"/>
        <item x="34"/>
        <item x="76"/>
        <item x="137"/>
        <item x="18"/>
        <item x="7"/>
        <item x="31"/>
        <item x="125"/>
        <item x="138"/>
        <item x="63"/>
        <item x="30"/>
        <item x="118"/>
        <item x="95"/>
        <item x="13"/>
        <item x="133"/>
        <item x="11"/>
        <item x="70"/>
        <item x="85"/>
        <item x="93"/>
        <item x="94"/>
        <item x="35"/>
        <item x="103"/>
        <item x="146"/>
        <item x="52"/>
        <item x="117"/>
        <item x="109"/>
        <item x="115"/>
        <item x="59"/>
        <item x="22"/>
        <item x="139"/>
        <item x="114"/>
        <item x="91"/>
        <item x="44"/>
        <item x="9"/>
        <item x="88"/>
        <item x="36"/>
        <item x="135"/>
        <item x="26"/>
        <item x="46"/>
        <item x="73"/>
        <item x="99"/>
        <item x="5"/>
        <item x="77"/>
        <item x="55"/>
        <item x="21"/>
        <item x="78"/>
        <item x="49"/>
        <item x="2"/>
        <item x="64"/>
        <item x="47"/>
        <item x="113"/>
        <item x="68"/>
        <item x="147"/>
        <item x="28"/>
        <item x="54"/>
        <item x="8"/>
        <item x="86"/>
        <item x="62"/>
        <item x="123"/>
        <item x="127"/>
        <item x="141"/>
        <item x="32"/>
        <item x="145"/>
        <item x="12"/>
        <item x="58"/>
        <item x="120"/>
        <item x="56"/>
        <item x="100"/>
        <item x="60"/>
        <item x="97"/>
        <item x="41"/>
        <item x="72"/>
        <item x="14"/>
        <item x="1"/>
        <item x="96"/>
        <item x="43"/>
        <item x="122"/>
        <item x="65"/>
        <item x="79"/>
        <item x="40"/>
        <item x="92"/>
        <item x="48"/>
        <item x="19"/>
        <item x="130"/>
        <item x="39"/>
        <item x="136"/>
        <item x="105"/>
        <item x="87"/>
        <item x="81"/>
        <item x="20"/>
        <item x="142"/>
        <item x="128"/>
        <item x="10"/>
        <item x="42"/>
        <item x="38"/>
        <item x="69"/>
        <item x="126"/>
        <item x="90"/>
        <item x="25"/>
        <item x="111"/>
        <item x="116"/>
        <item x="106"/>
        <item x="6"/>
        <item x="134"/>
        <item x="50"/>
        <item x="107"/>
        <item x="74"/>
        <item x="23"/>
        <item x="82"/>
        <item x="129"/>
        <item x="143"/>
        <item x="121"/>
        <item x="89"/>
        <item x="17"/>
        <item x="29"/>
        <item x="61"/>
        <item x="57"/>
        <item x="80"/>
        <item x="66"/>
        <item x="75"/>
        <item x="3"/>
        <item x="140"/>
        <item x="71"/>
        <item x="112"/>
        <item x="83"/>
        <item x="45"/>
        <item x="102"/>
        <item x="131"/>
        <item x="124"/>
        <item x="24"/>
        <item x="119"/>
        <item x="16"/>
        <item x="27"/>
        <item x="15"/>
        <item x="132"/>
        <item x="33"/>
        <item x="4"/>
        <item x="0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90">
        <item x="86"/>
        <item x="84"/>
        <item x="77"/>
        <item x="38"/>
        <item x="70"/>
        <item x="58"/>
        <item x="6"/>
        <item x="25"/>
        <item x="9"/>
        <item x="31"/>
        <item x="83"/>
        <item x="26"/>
        <item x="18"/>
        <item x="52"/>
        <item x="73"/>
        <item x="32"/>
        <item x="51"/>
        <item x="75"/>
        <item x="8"/>
        <item x="48"/>
        <item x="16"/>
        <item x="36"/>
        <item x="34"/>
        <item x="24"/>
        <item x="19"/>
        <item x="11"/>
        <item x="64"/>
        <item x="23"/>
        <item x="0"/>
        <item x="41"/>
        <item x="69"/>
        <item x="42"/>
        <item x="82"/>
        <item x="37"/>
        <item x="2"/>
        <item x="7"/>
        <item x="17"/>
        <item x="30"/>
        <item x="28"/>
        <item x="4"/>
        <item x="39"/>
        <item x="85"/>
        <item x="14"/>
        <item x="35"/>
        <item x="50"/>
        <item x="40"/>
        <item x="15"/>
        <item x="87"/>
        <item x="3"/>
        <item x="62"/>
        <item x="53"/>
        <item x="46"/>
        <item x="1"/>
        <item x="12"/>
        <item x="20"/>
        <item x="56"/>
        <item x="66"/>
        <item x="22"/>
        <item x="71"/>
        <item x="57"/>
        <item x="33"/>
        <item x="63"/>
        <item x="43"/>
        <item x="47"/>
        <item x="76"/>
        <item x="27"/>
        <item x="61"/>
        <item x="54"/>
        <item x="67"/>
        <item x="78"/>
        <item x="5"/>
        <item x="13"/>
        <item x="55"/>
        <item x="60"/>
        <item x="79"/>
        <item x="10"/>
        <item x="44"/>
        <item x="72"/>
        <item x="59"/>
        <item x="65"/>
        <item x="68"/>
        <item x="74"/>
        <item x="29"/>
        <item x="21"/>
        <item x="81"/>
        <item x="49"/>
        <item x="45"/>
        <item x="88"/>
        <item x="80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unt of Passeng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80:E91" firstHeaderRow="1" firstDataRow="2" firstDataCol="2"/>
  <pivotFields count="13">
    <pivotField dataField="1" compact="0" showAll="0">
      <items count="8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t="default"/>
      </items>
    </pivotField>
    <pivotField axis="axisCol" compact="0" showAll="0">
      <items count="3">
        <item x="0"/>
        <item x="1"/>
        <item t="default"/>
      </items>
    </pivotField>
    <pivotField axis="axisRow" compact="0" showAll="0">
      <items count="4">
        <item x="1"/>
        <item x="2"/>
        <item x="0"/>
        <item t="default"/>
      </items>
    </pivotField>
    <pivotField compact="0" showAll="0">
      <items count="892">
        <item x="845"/>
        <item x="746"/>
        <item x="279"/>
        <item x="308"/>
        <item x="874"/>
        <item x="365"/>
        <item x="401"/>
        <item x="40"/>
        <item x="855"/>
        <item x="207"/>
        <item x="810"/>
        <item x="840"/>
        <item x="210"/>
        <item x="784"/>
        <item x="730"/>
        <item x="4"/>
        <item x="305"/>
        <item x="297"/>
        <item x="498"/>
        <item x="834"/>
        <item x="192"/>
        <item x="460"/>
        <item x="850"/>
        <item x="813"/>
        <item x="119"/>
        <item x="68"/>
        <item x="541"/>
        <item x="542"/>
        <item x="13"/>
        <item x="146"/>
        <item x="610"/>
        <item x="91"/>
        <item x="144"/>
        <item x="275"/>
        <item x="806"/>
        <item x="518"/>
        <item x="571"/>
        <item x="353"/>
        <item x="49"/>
        <item x="493"/>
        <item x="363"/>
        <item x="182"/>
        <item x="261"/>
        <item x="233"/>
        <item x="25"/>
        <item x="700"/>
        <item x="114"/>
        <item x="244"/>
        <item x="369"/>
        <item x="833"/>
        <item x="780"/>
        <item x="206"/>
        <item x="85"/>
        <item x="644"/>
        <item x="469"/>
        <item x="448"/>
        <item x="858"/>
        <item x="661"/>
        <item x="757"/>
        <item x="870"/>
        <item x="327"/>
        <item x="883"/>
        <item x="762"/>
        <item x="702"/>
        <item x="362"/>
        <item x="290"/>
        <item x="630"/>
        <item x="112"/>
        <item x="150"/>
        <item x="168"/>
        <item x="118"/>
        <item x="299"/>
        <item x="218"/>
        <item x="543"/>
        <item x="546"/>
        <item x="372"/>
        <item x="183"/>
        <item x="618"/>
        <item x="248"/>
        <item x="871"/>
        <item x="21"/>
        <item x="889"/>
        <item x="162"/>
        <item x="225"/>
        <item x="733"/>
        <item x="378"/>
        <item x="380"/>
        <item x="74"/>
        <item x="408"/>
        <item x="484"/>
        <item x="291"/>
        <item x="269"/>
        <item x="430"/>
        <item x="339"/>
        <item x="209"/>
        <item x="11"/>
        <item x="628"/>
        <item x="852"/>
        <item x="598"/>
        <item x="140"/>
        <item x="593"/>
        <item x="188"/>
        <item x="657"/>
        <item x="624"/>
        <item x="356"/>
        <item x="221"/>
        <item x="507"/>
        <item x="477"/>
        <item x="0"/>
        <item x="766"/>
        <item x="614"/>
        <item x="345"/>
        <item x="684"/>
        <item x="194"/>
        <item x="670"/>
        <item x="728"/>
        <item x="143"/>
        <item x="337"/>
        <item x="387"/>
        <item x="666"/>
        <item x="536"/>
        <item x="149"/>
        <item x="865"/>
        <item x="534"/>
        <item x="471"/>
        <item x="270"/>
        <item x="707"/>
        <item x="78"/>
        <item x="323"/>
        <item x="163"/>
        <item x="500"/>
        <item x="211"/>
        <item x="466"/>
        <item x="501"/>
        <item x="37"/>
        <item x="578"/>
        <item x="191"/>
        <item x="679"/>
        <item x="756"/>
        <item x="872"/>
        <item x="208"/>
        <item x="83"/>
        <item x="802"/>
        <item x="435"/>
        <item x="390"/>
        <item x="854"/>
        <item x="763"/>
        <item x="249"/>
        <item x="741"/>
        <item x="89"/>
        <item x="92"/>
        <item x="724"/>
        <item x="809"/>
        <item x="695"/>
        <item x="594"/>
        <item x="421"/>
        <item x="257"/>
        <item x="166"/>
        <item x="838"/>
        <item x="90"/>
        <item x="580"/>
        <item x="73"/>
        <item x="426"/>
        <item x="708"/>
        <item x="475"/>
        <item x="131"/>
        <item x="204"/>
        <item x="663"/>
        <item x="514"/>
        <item x="242"/>
        <item x="342"/>
        <item x="662"/>
        <item x="237"/>
        <item x="637"/>
        <item x="801"/>
        <item x="835"/>
        <item x="749"/>
        <item x="289"/>
        <item x="116"/>
        <item x="668"/>
        <item x="646"/>
        <item x="157"/>
        <item x="489"/>
        <item x="348"/>
        <item x="94"/>
        <item x="67"/>
        <item x="160"/>
        <item x="745"/>
        <item x="540"/>
        <item x="844"/>
        <item x="1"/>
        <item x="413"/>
        <item x="338"/>
        <item x="882"/>
        <item x="687"/>
        <item x="510"/>
        <item x="857"/>
        <item x="616"/>
        <item x="423"/>
        <item x="607"/>
        <item x="321"/>
        <item x="794"/>
        <item x="671"/>
        <item x="549"/>
        <item x="565"/>
        <item x="385"/>
        <item x="635"/>
        <item x="347"/>
        <item x="559"/>
        <item x="286"/>
        <item x="282"/>
        <item x="788"/>
        <item x="93"/>
        <item x="361"/>
        <item x="335"/>
        <item x="320"/>
        <item x="44"/>
        <item x="690"/>
        <item x="781"/>
        <item x="349"/>
        <item x="445"/>
        <item x="568"/>
        <item x="651"/>
        <item x="98"/>
        <item x="890"/>
        <item x="283"/>
        <item x="544"/>
        <item x="79"/>
        <item x="582"/>
        <item x="130"/>
        <item x="416"/>
        <item x="280"/>
        <item x="556"/>
        <item x="599"/>
        <item x="866"/>
        <item x="675"/>
        <item x="658"/>
        <item x="764"/>
        <item x="129"/>
        <item x="773"/>
        <item x="532"/>
        <item x="352"/>
        <item x="592"/>
        <item x="777"/>
        <item x="26"/>
        <item x="716"/>
        <item x="496"/>
        <item x="228"/>
        <item x="525"/>
        <item x="527"/>
        <item x="53"/>
        <item x="688"/>
        <item x="306"/>
        <item x="428"/>
        <item x="825"/>
        <item x="572"/>
        <item x="643"/>
        <item x="436"/>
        <item x="147"/>
        <item x="86"/>
        <item x="736"/>
        <item x="452"/>
        <item x="341"/>
        <item x="88"/>
        <item x="27"/>
        <item x="438"/>
        <item x="344"/>
        <item x="309"/>
        <item x="660"/>
        <item x="334"/>
        <item x="539"/>
        <item x="587"/>
        <item x="481"/>
        <item x="815"/>
        <item x="357"/>
        <item x="137"/>
        <item x="3"/>
        <item x="20"/>
        <item x="405"/>
        <item x="703"/>
        <item x="760"/>
        <item x="576"/>
        <item x="791"/>
        <item x="619"/>
        <item x="462"/>
        <item x="420"/>
        <item x="139"/>
        <item x="861"/>
        <item x="588"/>
        <item x="864"/>
        <item x="722"/>
        <item x="156"/>
        <item x="213"/>
        <item x="32"/>
        <item x="453"/>
        <item x="849"/>
        <item x="96"/>
        <item x="165"/>
        <item x="548"/>
        <item x="328"/>
        <item x="465"/>
        <item x="480"/>
        <item x="386"/>
        <item x="59"/>
        <item x="71"/>
        <item x="683"/>
        <item x="678"/>
        <item x="887"/>
        <item x="332"/>
        <item x="268"/>
        <item x="222"/>
        <item x="714"/>
        <item x="97"/>
        <item x="769"/>
        <item x="789"/>
        <item x="876"/>
        <item x="104"/>
        <item x="392"/>
        <item x="379"/>
        <item x="293"/>
        <item x="451"/>
        <item x="490"/>
        <item x="403"/>
        <item x="142"/>
        <item x="178"/>
        <item x="755"/>
        <item x="247"/>
        <item x="441"/>
        <item x="296"/>
        <item x="860"/>
        <item x="704"/>
        <item x="623"/>
        <item x="370"/>
        <item x="235"/>
        <item x="785"/>
        <item x="720"/>
        <item x="645"/>
        <item x="52"/>
        <item x="848"/>
        <item x="602"/>
        <item x="570"/>
        <item x="62"/>
        <item x="219"/>
        <item x="230"/>
        <item x="263"/>
        <item x="535"/>
        <item x="314"/>
        <item x="411"/>
        <item x="440"/>
        <item x="681"/>
        <item x="731"/>
        <item x="740"/>
        <item x="310"/>
        <item x="820"/>
        <item x="274"/>
        <item x="804"/>
        <item x="654"/>
        <item x="2"/>
        <item x="816"/>
        <item x="313"/>
        <item x="264"/>
        <item x="615"/>
        <item x="754"/>
        <item x="15"/>
        <item x="655"/>
        <item x="665"/>
        <item x="120"/>
        <item x="329"/>
        <item x="523"/>
        <item x="479"/>
        <item x="529"/>
        <item x="774"/>
        <item x="723"/>
        <item x="765"/>
        <item x="236"/>
        <item x="818"/>
        <item x="35"/>
        <item x="383"/>
        <item x="604"/>
        <item x="216"/>
        <item x="72"/>
        <item x="613"/>
        <item x="288"/>
        <item x="224"/>
        <item x="793"/>
        <item x="486"/>
        <item x="699"/>
        <item x="239"/>
        <item x="798"/>
        <item x="61"/>
        <item x="84"/>
        <item x="729"/>
        <item x="177"/>
        <item x="738"/>
        <item x="217"/>
        <item x="600"/>
        <item x="455"/>
        <item x="391"/>
        <item x="611"/>
        <item x="586"/>
        <item x="70"/>
        <item x="640"/>
        <item x="771"/>
        <item x="721"/>
        <item x="368"/>
        <item x="473"/>
        <item x="444"/>
        <item x="202"/>
        <item x="395"/>
        <item x="103"/>
        <item x="805"/>
        <item x="869"/>
        <item x="172"/>
        <item x="597"/>
        <item x="719"/>
        <item x="302"/>
        <item x="8"/>
        <item x="888"/>
        <item x="783"/>
        <item x="753"/>
        <item x="569"/>
        <item x="113"/>
        <item x="402"/>
        <item x="579"/>
        <item x="433"/>
        <item x="652"/>
        <item x="99"/>
        <item x="316"/>
        <item x="606"/>
        <item x="478"/>
        <item x="691"/>
        <item x="524"/>
        <item x="303"/>
        <item x="790"/>
        <item x="470"/>
        <item x="300"/>
        <item x="573"/>
        <item x="696"/>
        <item x="706"/>
        <item x="487"/>
        <item x="457"/>
        <item x="214"/>
        <item x="778"/>
        <item x="621"/>
        <item x="69"/>
        <item x="184"/>
        <item x="626"/>
        <item x="711"/>
        <item x="175"/>
        <item x="732"/>
        <item x="42"/>
        <item x="439"/>
        <item x="522"/>
        <item x="312"/>
        <item x="503"/>
        <item x="878"/>
        <item x="692"/>
        <item x="826"/>
        <item x="376"/>
        <item x="509"/>
        <item x="43"/>
        <item x="685"/>
        <item x="608"/>
        <item x="713"/>
        <item x="231"/>
        <item x="796"/>
        <item x="553"/>
        <item x="176"/>
        <item x="409"/>
        <item x="485"/>
        <item x="229"/>
        <item x="389"/>
        <item x="636"/>
        <item x="596"/>
        <item x="843"/>
        <item x="516"/>
        <item x="46"/>
        <item x="179"/>
        <item x="537"/>
        <item x="811"/>
        <item x="737"/>
        <item x="292"/>
        <item x="295"/>
        <item x="234"/>
        <item x="770"/>
        <item x="246"/>
        <item x="276"/>
        <item x="605"/>
        <item x="664"/>
        <item x="853"/>
        <item x="169"/>
        <item x="253"/>
        <item x="617"/>
        <item x="782"/>
        <item x="627"/>
        <item x="432"/>
        <item x="227"/>
        <item x="821"/>
        <item x="631"/>
        <item x="195"/>
        <item x="772"/>
        <item x="198"/>
        <item x="689"/>
        <item x="127"/>
        <item x="243"/>
        <item x="504"/>
        <item x="464"/>
        <item x="827"/>
        <item x="817"/>
        <item x="36"/>
        <item x="767"/>
        <item x="727"/>
        <item x="839"/>
        <item x="847"/>
        <item x="881"/>
        <item x="748"/>
        <item x="19"/>
        <item x="418"/>
        <item x="710"/>
        <item x="6"/>
        <item x="828"/>
        <item x="330"/>
        <item x="301"/>
        <item x="82"/>
        <item x="718"/>
        <item x="512"/>
        <item x="358"/>
        <item x="22"/>
        <item x="397"/>
        <item x="126"/>
        <item x="743"/>
        <item x="564"/>
        <item x="415"/>
        <item x="446"/>
        <item x="272"/>
        <item x="226"/>
        <item x="152"/>
        <item x="196"/>
        <item x="808"/>
        <item x="34"/>
        <item x="375"/>
        <item x="456"/>
        <item x="463"/>
        <item x="245"/>
        <item x="412"/>
        <item x="294"/>
        <item x="105"/>
        <item x="672"/>
        <item x="650"/>
        <item x="359"/>
        <item x="75"/>
        <item x="492"/>
        <item x="886"/>
        <item x="751"/>
        <item x="823"/>
        <item x="121"/>
        <item x="109"/>
        <item x="768"/>
        <item x="5"/>
        <item x="317"/>
        <item x="705"/>
        <item x="461"/>
        <item x="560"/>
        <item x="107"/>
        <item x="65"/>
        <item x="709"/>
        <item x="367"/>
        <item x="77"/>
        <item x="841"/>
        <item x="697"/>
        <item x="589"/>
        <item x="241"/>
        <item x="612"/>
        <item x="775"/>
        <item x="287"/>
        <item x="875"/>
        <item x="381"/>
        <item x="622"/>
        <item x="739"/>
        <item x="122"/>
        <item x="9"/>
        <item x="273"/>
        <item x="340"/>
        <item x="193"/>
        <item x="148"/>
        <item x="223"/>
        <item x="215"/>
        <item x="393"/>
        <item x="659"/>
        <item x="136"/>
        <item x="145"/>
        <item x="545"/>
        <item x="125"/>
        <item x="39"/>
        <item x="315"/>
        <item x="761"/>
        <item x="400"/>
        <item x="562"/>
        <item x="51"/>
        <item x="57"/>
        <item x="66"/>
        <item x="141"/>
        <item x="326"/>
        <item x="364"/>
        <item x="552"/>
        <item x="186"/>
        <item x="629"/>
        <item x="459"/>
        <item x="350"/>
        <item x="47"/>
        <item x="28"/>
        <item x="554"/>
        <item x="653"/>
        <item x="508"/>
        <item x="197"/>
        <item x="154"/>
        <item x="396"/>
        <item x="281"/>
        <item x="682"/>
        <item x="404"/>
        <item x="725"/>
        <item x="138"/>
        <item x="797"/>
        <item x="54"/>
        <item x="502"/>
        <item x="795"/>
        <item x="547"/>
        <item x="398"/>
        <item x="7"/>
        <item x="374"/>
        <item x="24"/>
        <item x="567"/>
        <item x="164"/>
        <item x="50"/>
        <item x="824"/>
        <item x="266"/>
        <item x="686"/>
        <item x="638"/>
        <item x="277"/>
        <item x="633"/>
        <item x="259"/>
        <item x="331"/>
        <item x="836"/>
        <item x="575"/>
        <item x="584"/>
        <item x="519"/>
        <item x="336"/>
        <item x="151"/>
        <item x="454"/>
        <item x="115"/>
        <item x="505"/>
        <item x="307"/>
        <item x="238"/>
        <item x="212"/>
        <item x="181"/>
        <item x="520"/>
        <item x="267"/>
        <item x="128"/>
        <item x="533"/>
        <item x="680"/>
        <item x="100"/>
        <item x="877"/>
        <item x="101"/>
        <item x="442"/>
        <item x="807"/>
        <item x="449"/>
        <item x="427"/>
        <item x="429"/>
        <item x="190"/>
        <item x="384"/>
        <item x="800"/>
        <item x="110"/>
        <item x="879"/>
        <item x="530"/>
        <item x="506"/>
        <item x="656"/>
        <item x="859"/>
        <item x="250"/>
        <item x="265"/>
        <item x="108"/>
        <item x="476"/>
        <item x="726"/>
        <item x="822"/>
        <item x="443"/>
        <item x="171"/>
        <item x="278"/>
        <item x="16"/>
        <item x="787"/>
        <item x="885"/>
        <item x="135"/>
        <item x="831"/>
        <item x="407"/>
        <item x="437"/>
        <item x="526"/>
        <item x="373"/>
        <item x="590"/>
        <item x="538"/>
        <item x="557"/>
        <item x="779"/>
        <item x="132"/>
        <item x="867"/>
        <item x="45"/>
        <item x="187"/>
        <item x="667"/>
        <item x="185"/>
        <item x="424"/>
        <item x="254"/>
        <item x="583"/>
        <item x="759"/>
        <item x="513"/>
        <item x="482"/>
        <item x="56"/>
        <item x="574"/>
        <item x="517"/>
        <item x="311"/>
        <item x="742"/>
        <item x="832"/>
        <item x="693"/>
        <item x="298"/>
        <item x="388"/>
        <item x="159"/>
        <item x="180"/>
        <item x="863"/>
        <item x="792"/>
        <item x="846"/>
        <item x="201"/>
        <item x="324"/>
        <item x="641"/>
        <item x="106"/>
        <item x="528"/>
        <item x="48"/>
        <item x="10"/>
        <item x="394"/>
        <item x="12"/>
        <item x="676"/>
        <item x="468"/>
        <item x="410"/>
        <item x="343"/>
        <item x="842"/>
        <item x="447"/>
        <item x="551"/>
        <item x="81"/>
        <item x="497"/>
        <item x="880"/>
        <item x="95"/>
        <item x="609"/>
        <item x="417"/>
        <item x="701"/>
        <item x="434"/>
        <item x="577"/>
        <item x="563"/>
        <item x="647"/>
        <item x="747"/>
        <item x="60"/>
        <item x="837"/>
        <item x="561"/>
        <item x="173"/>
        <item x="786"/>
        <item x="232"/>
        <item x="63"/>
        <item x="819"/>
        <item x="634"/>
        <item x="642"/>
        <item x="360"/>
        <item x="167"/>
        <item x="601"/>
        <item x="322"/>
        <item x="812"/>
        <item x="87"/>
        <item x="23"/>
        <item x="467"/>
        <item x="158"/>
        <item x="346"/>
        <item x="174"/>
        <item x="284"/>
        <item x="260"/>
        <item x="134"/>
        <item x="715"/>
        <item x="488"/>
        <item x="319"/>
        <item x="31"/>
        <item x="632"/>
        <item x="76"/>
        <item x="285"/>
        <item x="649"/>
        <item x="494"/>
        <item x="252"/>
        <item x="591"/>
        <item x="64"/>
        <item x="829"/>
        <item x="566"/>
        <item x="474"/>
        <item x="744"/>
        <item x="205"/>
        <item x="251"/>
        <item x="220"/>
        <item x="414"/>
        <item x="884"/>
        <item x="625"/>
        <item x="851"/>
        <item x="499"/>
        <item x="862"/>
        <item x="585"/>
        <item x="262"/>
        <item x="558"/>
        <item x="712"/>
        <item x="669"/>
        <item x="698"/>
        <item x="550"/>
        <item x="581"/>
        <item x="758"/>
        <item x="803"/>
        <item x="256"/>
        <item x="639"/>
        <item x="431"/>
        <item x="382"/>
        <item x="776"/>
        <item x="29"/>
        <item x="814"/>
        <item x="458"/>
        <item x="603"/>
        <item x="271"/>
        <item x="531"/>
        <item x="255"/>
        <item x="734"/>
        <item x="399"/>
        <item x="717"/>
        <item x="189"/>
        <item x="677"/>
        <item x="483"/>
        <item x="117"/>
        <item x="41"/>
        <item x="30"/>
        <item x="153"/>
        <item x="170"/>
        <item x="419"/>
        <item x="595"/>
        <item x="799"/>
        <item x="868"/>
        <item x="752"/>
        <item x="200"/>
        <item x="355"/>
        <item x="873"/>
        <item x="38"/>
        <item x="333"/>
        <item x="18"/>
        <item x="14"/>
        <item x="521"/>
        <item x="80"/>
        <item x="515"/>
        <item x="258"/>
        <item x="366"/>
        <item x="674"/>
        <item x="161"/>
        <item x="123"/>
        <item x="511"/>
        <item x="694"/>
        <item x="133"/>
        <item x="750"/>
        <item x="58"/>
        <item x="450"/>
        <item x="472"/>
        <item x="33"/>
        <item x="124"/>
        <item x="102"/>
        <item x="318"/>
        <item x="856"/>
        <item x="406"/>
        <item x="377"/>
        <item x="371"/>
        <item x="673"/>
        <item x="648"/>
        <item x="155"/>
        <item x="17"/>
        <item x="304"/>
        <item x="735"/>
        <item x="351"/>
        <item x="491"/>
        <item x="425"/>
        <item x="55"/>
        <item x="555"/>
        <item x="620"/>
        <item x="830"/>
        <item x="325"/>
        <item x="203"/>
        <item x="354"/>
        <item x="495"/>
        <item x="199"/>
        <item x="111"/>
        <item x="240"/>
        <item x="422"/>
        <item t="default"/>
      </items>
    </pivotField>
    <pivotField axis="axisRow" compact="0" showAll="0">
      <items count="3">
        <item x="1"/>
        <item x="0"/>
        <item t="default"/>
      </items>
    </pivotField>
    <pivotField compact="0" showAll="0">
      <items count="90">
        <item x="86"/>
        <item x="84"/>
        <item x="77"/>
        <item x="38"/>
        <item x="70"/>
        <item x="58"/>
        <item x="6"/>
        <item x="25"/>
        <item x="9"/>
        <item x="31"/>
        <item x="83"/>
        <item x="26"/>
        <item x="18"/>
        <item x="52"/>
        <item x="73"/>
        <item x="32"/>
        <item x="51"/>
        <item x="75"/>
        <item x="8"/>
        <item x="48"/>
        <item x="16"/>
        <item x="36"/>
        <item x="34"/>
        <item x="24"/>
        <item x="19"/>
        <item x="11"/>
        <item x="64"/>
        <item x="23"/>
        <item x="0"/>
        <item x="41"/>
        <item x="69"/>
        <item x="42"/>
        <item x="82"/>
        <item x="37"/>
        <item x="2"/>
        <item x="7"/>
        <item x="17"/>
        <item x="30"/>
        <item x="28"/>
        <item x="39"/>
        <item x="85"/>
        <item x="14"/>
        <item x="35"/>
        <item x="50"/>
        <item x="40"/>
        <item x="15"/>
        <item x="87"/>
        <item x="3"/>
        <item x="62"/>
        <item x="53"/>
        <item x="46"/>
        <item x="1"/>
        <item x="12"/>
        <item x="20"/>
        <item x="56"/>
        <item x="66"/>
        <item x="22"/>
        <item x="71"/>
        <item x="57"/>
        <item x="33"/>
        <item x="63"/>
        <item x="43"/>
        <item x="47"/>
        <item x="76"/>
        <item x="27"/>
        <item x="61"/>
        <item x="54"/>
        <item x="67"/>
        <item x="78"/>
        <item x="5"/>
        <item x="13"/>
        <item x="55"/>
        <item x="60"/>
        <item x="79"/>
        <item x="10"/>
        <item x="44"/>
        <item x="72"/>
        <item x="59"/>
        <item x="65"/>
        <item x="68"/>
        <item x="74"/>
        <item x="29"/>
        <item x="21"/>
        <item x="81"/>
        <item x="49"/>
        <item x="45"/>
        <item x="88"/>
        <item x="80"/>
        <item x="4"/>
        <item t="default"/>
      </items>
    </pivotField>
    <pivotField compact="0" showAll="0">
      <items count="8">
        <item x="1"/>
        <item x="0"/>
        <item x="4"/>
        <item x="2"/>
        <item x="3"/>
        <item x="5"/>
        <item x="6"/>
        <item t="default"/>
      </items>
    </pivotField>
    <pivotField compact="0" showAll="0">
      <items count="8">
        <item h="1" x="0"/>
        <item h="1" x="1"/>
        <item h="1" x="2"/>
        <item h="1" x="4"/>
        <item h="1" x="5"/>
        <item h="1" x="3"/>
        <item x="6"/>
        <item t="default"/>
      </items>
    </pivotField>
    <pivotField compact="0" showAll="0">
      <items count="682">
        <item x="453"/>
        <item x="668"/>
        <item x="72"/>
        <item x="363"/>
        <item x="644"/>
        <item x="457"/>
        <item x="530"/>
        <item x="437"/>
        <item x="625"/>
        <item x="317"/>
        <item x="111"/>
        <item x="182"/>
        <item x="658"/>
        <item x="25"/>
        <item x="444"/>
        <item x="307"/>
        <item x="325"/>
        <item x="19"/>
        <item x="228"/>
        <item x="38"/>
        <item x="328"/>
        <item x="505"/>
        <item x="64"/>
        <item x="47"/>
        <item x="599"/>
        <item x="492"/>
        <item x="108"/>
        <item x="379"/>
        <item x="670"/>
        <item x="119"/>
        <item x="59"/>
        <item x="642"/>
        <item x="553"/>
        <item x="607"/>
        <item x="35"/>
        <item x="130"/>
        <item x="71"/>
        <item x="650"/>
        <item x="624"/>
        <item x="469"/>
        <item x="612"/>
        <item x="478"/>
        <item x="445"/>
        <item x="313"/>
        <item x="265"/>
        <item x="218"/>
        <item x="306"/>
        <item x="56"/>
        <item x="185"/>
        <item x="438"/>
        <item x="452"/>
        <item x="52"/>
        <item x="482"/>
        <item x="403"/>
        <item x="631"/>
        <item x="160"/>
        <item x="408"/>
        <item x="422"/>
        <item x="110"/>
        <item x="344"/>
        <item x="545"/>
        <item x="177"/>
        <item x="531"/>
        <item x="547"/>
        <item x="304"/>
        <item x="128"/>
        <item x="100"/>
        <item x="566"/>
        <item x="39"/>
        <item x="674"/>
        <item x="401"/>
        <item x="294"/>
        <item x="603"/>
        <item x="525"/>
        <item x="268"/>
        <item x="40"/>
        <item x="222"/>
        <item x="127"/>
        <item x="506"/>
        <item x="460"/>
        <item x="320"/>
        <item x="276"/>
        <item x="472"/>
        <item x="409"/>
        <item x="648"/>
        <item x="196"/>
        <item x="260"/>
        <item x="573"/>
        <item x="618"/>
        <item x="435"/>
        <item x="481"/>
        <item x="521"/>
        <item x="515"/>
        <item x="245"/>
        <item x="371"/>
        <item x="386"/>
        <item x="484"/>
        <item x="450"/>
        <item x="46"/>
        <item x="474"/>
        <item x="318"/>
        <item x="485"/>
        <item x="284"/>
        <item x="585"/>
        <item x="272"/>
        <item x="383"/>
        <item x="6"/>
        <item x="387"/>
        <item x="622"/>
        <item x="661"/>
        <item x="551"/>
        <item x="158"/>
        <item x="259"/>
        <item x="219"/>
        <item x="202"/>
        <item x="54"/>
        <item x="26"/>
        <item x="390"/>
        <item x="639"/>
        <item x="267"/>
        <item x="537"/>
        <item x="200"/>
        <item x="550"/>
        <item x="423"/>
        <item x="211"/>
        <item x="513"/>
        <item x="116"/>
        <item x="331"/>
        <item x="660"/>
        <item x="632"/>
        <item x="621"/>
        <item x="354"/>
        <item x="356"/>
        <item x="339"/>
        <item x="173"/>
        <item x="581"/>
        <item x="289"/>
        <item x="346"/>
        <item x="213"/>
        <item x="282"/>
        <item x="591"/>
        <item x="443"/>
        <item x="608"/>
        <item x="348"/>
        <item x="596"/>
        <item x="538"/>
        <item x="529"/>
        <item x="402"/>
        <item x="504"/>
        <item x="300"/>
        <item x="377"/>
        <item x="569"/>
        <item x="193"/>
        <item x="99"/>
        <item x="145"/>
        <item x="557"/>
        <item x="397"/>
        <item x="570"/>
        <item x="560"/>
        <item x="611"/>
        <item x="577"/>
        <item x="283"/>
        <item x="416"/>
        <item x="509"/>
        <item x="431"/>
        <item x="61"/>
        <item x="508"/>
        <item x="381"/>
        <item x="411"/>
        <item x="376"/>
        <item x="230"/>
        <item x="234"/>
        <item x="107"/>
        <item x="367"/>
        <item x="316"/>
        <item x="156"/>
        <item x="392"/>
        <item x="290"/>
        <item x="679"/>
        <item x="496"/>
        <item x="424"/>
        <item x="169"/>
        <item x="628"/>
        <item x="516"/>
        <item x="678"/>
        <item x="634"/>
        <item x="235"/>
        <item x="187"/>
        <item x="601"/>
        <item x="565"/>
        <item x="291"/>
        <item x="447"/>
        <item x="382"/>
        <item x="657"/>
        <item x="253"/>
        <item x="81"/>
        <item x="613"/>
        <item x="324"/>
        <item x="154"/>
        <item x="53"/>
        <item x="305"/>
        <item x="225"/>
        <item x="60"/>
        <item x="334"/>
        <item x="167"/>
        <item x="589"/>
        <item x="140"/>
        <item x="266"/>
        <item x="11"/>
        <item x="295"/>
        <item x="380"/>
        <item x="413"/>
        <item x="23"/>
        <item x="34"/>
        <item x="396"/>
        <item x="378"/>
        <item x="494"/>
        <item x="241"/>
        <item x="554"/>
        <item x="3"/>
        <item x="499"/>
        <item x="575"/>
        <item x="459"/>
        <item x="677"/>
        <item x="464"/>
        <item x="510"/>
        <item x="199"/>
        <item x="503"/>
        <item x="562"/>
        <item x="270"/>
        <item x="433"/>
        <item x="124"/>
        <item x="298"/>
        <item x="137"/>
        <item x="165"/>
        <item x="232"/>
        <item x="375"/>
        <item x="95"/>
        <item x="134"/>
        <item x="582"/>
        <item x="662"/>
        <item x="393"/>
        <item x="172"/>
        <item x="534"/>
        <item x="287"/>
        <item x="206"/>
        <item x="663"/>
        <item x="578"/>
        <item x="208"/>
        <item x="483"/>
        <item x="517"/>
        <item x="309"/>
        <item x="9"/>
        <item x="480"/>
        <item x="257"/>
        <item x="247"/>
        <item x="406"/>
        <item x="580"/>
        <item x="542"/>
        <item x="20"/>
        <item x="341"/>
        <item x="195"/>
        <item x="477"/>
        <item x="223"/>
        <item x="541"/>
        <item x="340"/>
        <item x="138"/>
        <item x="455"/>
        <item x="297"/>
        <item x="96"/>
        <item x="17"/>
        <item x="21"/>
        <item x="15"/>
        <item x="630"/>
        <item x="491"/>
        <item x="555"/>
        <item x="299"/>
        <item x="76"/>
        <item x="296"/>
        <item x="179"/>
        <item x="574"/>
        <item x="242"/>
        <item x="191"/>
        <item x="567"/>
        <item x="588"/>
        <item x="221"/>
        <item x="278"/>
        <item x="355"/>
        <item x="162"/>
        <item x="364"/>
        <item x="104"/>
        <item x="349"/>
        <item x="535"/>
        <item x="147"/>
        <item x="360"/>
        <item x="446"/>
        <item x="419"/>
        <item x="303"/>
        <item x="399"/>
        <item x="651"/>
        <item x="152"/>
        <item x="576"/>
        <item x="345"/>
        <item x="646"/>
        <item x="638"/>
        <item x="68"/>
        <item x="166"/>
        <item x="398"/>
        <item x="322"/>
        <item x="109"/>
        <item x="5"/>
        <item x="421"/>
        <item x="526"/>
        <item x="22"/>
        <item x="310"/>
        <item x="80"/>
        <item x="546"/>
        <item x="43"/>
        <item x="27"/>
        <item x="456"/>
        <item x="311"/>
        <item x="512"/>
        <item x="590"/>
        <item x="31"/>
        <item x="249"/>
        <item x="343"/>
        <item x="544"/>
        <item x="353"/>
        <item x="103"/>
        <item x="86"/>
        <item x="87"/>
        <item x="288"/>
        <item x="461"/>
        <item x="18"/>
        <item x="37"/>
        <item x="669"/>
        <item x="78"/>
        <item x="373"/>
        <item x="180"/>
        <item x="357"/>
        <item x="255"/>
        <item x="666"/>
        <item x="251"/>
        <item x="79"/>
        <item x="593"/>
        <item x="604"/>
        <item x="308"/>
        <item x="184"/>
        <item x="654"/>
        <item x="120"/>
        <item x="571"/>
        <item x="627"/>
        <item x="347"/>
        <item x="207"/>
        <item x="151"/>
        <item x="326"/>
        <item x="220"/>
        <item x="246"/>
        <item x="600"/>
        <item x="374"/>
        <item x="24"/>
        <item x="609"/>
        <item x="361"/>
        <item x="131"/>
        <item x="13"/>
        <item x="238"/>
        <item x="458"/>
        <item x="629"/>
        <item x="62"/>
        <item x="626"/>
        <item x="250"/>
        <item x="88"/>
        <item x="643"/>
        <item x="281"/>
        <item x="8"/>
        <item x="514"/>
        <item x="558"/>
        <item x="73"/>
        <item x="568"/>
        <item x="583"/>
        <item x="620"/>
        <item x="594"/>
        <item x="468"/>
        <item x="256"/>
        <item x="102"/>
        <item x="74"/>
        <item x="430"/>
        <item x="532"/>
        <item x="671"/>
        <item x="653"/>
        <item x="493"/>
        <item x="98"/>
        <item x="28"/>
        <item x="672"/>
        <item x="584"/>
        <item x="286"/>
        <item x="524"/>
        <item x="350"/>
        <item x="528"/>
        <item x="511"/>
        <item x="293"/>
        <item x="330"/>
        <item x="548"/>
        <item x="520"/>
        <item x="263"/>
        <item x="201"/>
        <item x="262"/>
        <item x="48"/>
        <item x="254"/>
        <item x="385"/>
        <item x="121"/>
        <item x="434"/>
        <item x="279"/>
        <item x="623"/>
        <item x="97"/>
        <item x="498"/>
        <item x="171"/>
        <item x="667"/>
        <item x="105"/>
        <item x="463"/>
        <item x="436"/>
        <item x="41"/>
        <item x="358"/>
        <item x="552"/>
        <item x="673"/>
        <item x="7"/>
        <item x="497"/>
        <item x="543"/>
        <item x="561"/>
        <item x="659"/>
        <item x="507"/>
        <item x="335"/>
        <item x="418"/>
        <item x="549"/>
        <item x="595"/>
        <item x="136"/>
        <item x="174"/>
        <item x="605"/>
        <item x="572"/>
        <item x="519"/>
        <item x="337"/>
        <item x="404"/>
        <item x="159"/>
        <item x="14"/>
        <item x="338"/>
        <item x="470"/>
        <item x="476"/>
        <item x="224"/>
        <item x="153"/>
        <item x="597"/>
        <item x="556"/>
        <item x="449"/>
        <item x="633"/>
        <item x="91"/>
        <item x="391"/>
        <item x="495"/>
        <item x="502"/>
        <item x="77"/>
        <item x="420"/>
        <item x="489"/>
        <item x="170"/>
        <item x="602"/>
        <item x="365"/>
        <item x="133"/>
        <item x="527"/>
        <item x="269"/>
        <item x="641"/>
        <item x="192"/>
        <item x="215"/>
        <item x="186"/>
        <item x="439"/>
        <item x="332"/>
        <item x="640"/>
        <item x="176"/>
        <item x="227"/>
        <item x="168"/>
        <item x="113"/>
        <item x="178"/>
        <item x="45"/>
        <item x="117"/>
        <item x="258"/>
        <item x="244"/>
        <item x="680"/>
        <item x="501"/>
        <item x="389"/>
        <item x="106"/>
        <item x="149"/>
        <item x="462"/>
        <item x="4"/>
        <item x="75"/>
        <item x="616"/>
        <item x="92"/>
        <item x="368"/>
        <item x="586"/>
        <item x="236"/>
        <item x="426"/>
        <item x="16"/>
        <item x="610"/>
        <item x="233"/>
        <item x="301"/>
        <item x="656"/>
        <item x="647"/>
        <item x="592"/>
        <item x="351"/>
        <item x="181"/>
        <item x="617"/>
        <item x="321"/>
        <item x="101"/>
        <item x="336"/>
        <item x="83"/>
        <item x="67"/>
        <item x="49"/>
        <item x="442"/>
        <item x="405"/>
        <item x="36"/>
        <item x="486"/>
        <item x="141"/>
        <item x="410"/>
        <item x="415"/>
        <item x="467"/>
        <item x="475"/>
        <item x="362"/>
        <item x="50"/>
        <item x="0"/>
        <item x="285"/>
        <item x="205"/>
        <item x="190"/>
        <item x="271"/>
        <item x="384"/>
        <item x="536"/>
        <item x="183"/>
        <item x="407"/>
        <item x="488"/>
        <item x="252"/>
        <item x="359"/>
        <item x="12"/>
        <item x="226"/>
        <item x="123"/>
        <item x="142"/>
        <item x="394"/>
        <item x="115"/>
        <item x="118"/>
        <item x="425"/>
        <item x="637"/>
        <item x="315"/>
        <item x="323"/>
        <item x="237"/>
        <item x="372"/>
        <item x="90"/>
        <item x="32"/>
        <item x="540"/>
        <item x="248"/>
        <item x="125"/>
        <item x="65"/>
        <item x="209"/>
        <item x="55"/>
        <item x="212"/>
        <item x="69"/>
        <item x="135"/>
        <item x="150"/>
        <item x="432"/>
        <item x="57"/>
        <item x="302"/>
        <item x="652"/>
        <item x="417"/>
        <item x="675"/>
        <item x="58"/>
        <item x="523"/>
        <item x="148"/>
        <item x="539"/>
        <item x="189"/>
        <item x="280"/>
        <item x="388"/>
        <item x="143"/>
        <item x="163"/>
        <item x="274"/>
        <item x="155"/>
        <item x="428"/>
        <item x="473"/>
        <item x="559"/>
        <item x="563"/>
        <item x="319"/>
        <item x="564"/>
        <item x="441"/>
        <item x="275"/>
        <item x="114"/>
        <item x="30"/>
        <item x="51"/>
        <item x="239"/>
        <item x="229"/>
        <item x="665"/>
        <item x="655"/>
        <item x="129"/>
        <item x="161"/>
        <item x="243"/>
        <item x="144"/>
        <item x="1"/>
        <item x="619"/>
        <item x="29"/>
        <item x="429"/>
        <item x="33"/>
        <item x="63"/>
        <item x="277"/>
        <item x="414"/>
        <item x="175"/>
        <item x="292"/>
        <item x="264"/>
        <item x="93"/>
        <item x="231"/>
        <item x="645"/>
        <item x="327"/>
        <item x="273"/>
        <item x="94"/>
        <item x="240"/>
        <item x="448"/>
        <item x="203"/>
        <item x="10"/>
        <item x="44"/>
        <item x="636"/>
        <item x="606"/>
        <item x="522"/>
        <item x="70"/>
        <item x="139"/>
        <item x="66"/>
        <item x="471"/>
        <item x="333"/>
        <item x="490"/>
        <item x="369"/>
        <item x="400"/>
        <item x="42"/>
        <item x="164"/>
        <item x="126"/>
        <item x="454"/>
        <item x="664"/>
        <item x="261"/>
        <item x="312"/>
        <item x="214"/>
        <item x="82"/>
        <item x="500"/>
        <item x="395"/>
        <item x="122"/>
        <item x="314"/>
        <item x="188"/>
        <item x="615"/>
        <item x="366"/>
        <item x="466"/>
        <item x="598"/>
        <item x="649"/>
        <item x="427"/>
        <item x="412"/>
        <item x="676"/>
        <item x="465"/>
        <item x="85"/>
        <item x="198"/>
        <item x="146"/>
        <item x="352"/>
        <item x="487"/>
        <item x="370"/>
        <item x="217"/>
        <item x="157"/>
        <item x="533"/>
        <item x="479"/>
        <item x="587"/>
        <item x="342"/>
        <item x="518"/>
        <item x="329"/>
        <item x="112"/>
        <item x="579"/>
        <item x="132"/>
        <item x="2"/>
        <item x="194"/>
        <item x="635"/>
        <item x="204"/>
        <item x="440"/>
        <item x="216"/>
        <item x="614"/>
        <item x="84"/>
        <item x="210"/>
        <item x="89"/>
        <item x="197"/>
        <item x="451"/>
        <item t="default"/>
      </items>
    </pivotField>
    <pivotField compact="0" showAll="0">
      <items count="249">
        <item x="104"/>
        <item x="163"/>
        <item x="245"/>
        <item x="152"/>
        <item x="240"/>
        <item x="237"/>
        <item x="110"/>
        <item x="85"/>
        <item x="171"/>
        <item x="238"/>
        <item x="78"/>
        <item x="185"/>
        <item x="79"/>
        <item x="218"/>
        <item x="123"/>
        <item x="76"/>
        <item x="18"/>
        <item x="32"/>
        <item x="0"/>
        <item x="91"/>
        <item x="196"/>
        <item x="186"/>
        <item x="120"/>
        <item x="192"/>
        <item x="55"/>
        <item x="182"/>
        <item x="166"/>
        <item x="93"/>
        <item x="229"/>
        <item x="227"/>
        <item x="28"/>
        <item x="71"/>
        <item x="60"/>
        <item x="88"/>
        <item x="41"/>
        <item x="204"/>
        <item x="13"/>
        <item x="173"/>
        <item x="24"/>
        <item x="235"/>
        <item x="25"/>
        <item x="2"/>
        <item x="20"/>
        <item x="4"/>
        <item x="176"/>
        <item x="222"/>
        <item x="50"/>
        <item x="239"/>
        <item x="230"/>
        <item x="109"/>
        <item x="219"/>
        <item x="5"/>
        <item x="234"/>
        <item x="70"/>
        <item x="51"/>
        <item x="233"/>
        <item x="211"/>
        <item x="138"/>
        <item x="58"/>
        <item x="83"/>
        <item x="157"/>
        <item x="118"/>
        <item x="34"/>
        <item x="228"/>
        <item x="59"/>
        <item x="188"/>
        <item x="73"/>
        <item x="184"/>
        <item x="221"/>
        <item x="246"/>
        <item x="223"/>
        <item x="111"/>
        <item x="29"/>
        <item x="247"/>
        <item x="8"/>
        <item x="33"/>
        <item x="86"/>
        <item x="167"/>
        <item x="122"/>
        <item x="187"/>
        <item x="142"/>
        <item x="57"/>
        <item x="89"/>
        <item x="169"/>
        <item x="137"/>
        <item x="16"/>
        <item x="226"/>
        <item x="119"/>
        <item x="183"/>
        <item x="243"/>
        <item x="203"/>
        <item x="149"/>
        <item x="242"/>
        <item x="174"/>
        <item x="53"/>
        <item x="74"/>
        <item x="80"/>
        <item x="212"/>
        <item x="81"/>
        <item x="105"/>
        <item x="191"/>
        <item x="49"/>
        <item x="37"/>
        <item x="215"/>
        <item x="165"/>
        <item x="96"/>
        <item x="62"/>
        <item x="156"/>
        <item x="14"/>
        <item x="95"/>
        <item x="10"/>
        <item x="206"/>
        <item x="39"/>
        <item x="17"/>
        <item x="170"/>
        <item x="112"/>
        <item x="178"/>
        <item x="131"/>
        <item x="179"/>
        <item x="125"/>
        <item x="134"/>
        <item x="97"/>
        <item x="65"/>
        <item x="35"/>
        <item x="7"/>
        <item x="38"/>
        <item x="107"/>
        <item x="77"/>
        <item x="193"/>
        <item x="68"/>
        <item x="141"/>
        <item x="231"/>
        <item x="145"/>
        <item x="72"/>
        <item x="102"/>
        <item x="220"/>
        <item x="99"/>
        <item x="232"/>
        <item x="19"/>
        <item x="121"/>
        <item x="82"/>
        <item x="194"/>
        <item x="208"/>
        <item x="11"/>
        <item x="115"/>
        <item x="26"/>
        <item x="44"/>
        <item x="48"/>
        <item x="154"/>
        <item x="103"/>
        <item x="56"/>
        <item x="15"/>
        <item x="132"/>
        <item x="209"/>
        <item x="9"/>
        <item x="140"/>
        <item x="101"/>
        <item x="113"/>
        <item x="12"/>
        <item x="22"/>
        <item x="217"/>
        <item x="172"/>
        <item x="213"/>
        <item x="100"/>
        <item x="197"/>
        <item x="63"/>
        <item x="66"/>
        <item x="158"/>
        <item x="21"/>
        <item x="87"/>
        <item x="236"/>
        <item x="181"/>
        <item x="106"/>
        <item x="241"/>
        <item x="205"/>
        <item x="40"/>
        <item x="210"/>
        <item x="36"/>
        <item x="214"/>
        <item x="45"/>
        <item x="61"/>
        <item x="201"/>
        <item x="189"/>
        <item x="108"/>
        <item x="244"/>
        <item x="207"/>
        <item x="6"/>
        <item x="31"/>
        <item x="124"/>
        <item x="3"/>
        <item x="98"/>
        <item x="161"/>
        <item x="175"/>
        <item x="54"/>
        <item x="146"/>
        <item x="225"/>
        <item x="153"/>
        <item x="195"/>
        <item x="64"/>
        <item x="92"/>
        <item x="43"/>
        <item x="67"/>
        <item x="216"/>
        <item x="90"/>
        <item x="160"/>
        <item x="94"/>
        <item x="202"/>
        <item x="1"/>
        <item x="52"/>
        <item x="159"/>
        <item x="116"/>
        <item x="42"/>
        <item x="69"/>
        <item x="133"/>
        <item x="190"/>
        <item x="135"/>
        <item x="84"/>
        <item x="128"/>
        <item x="46"/>
        <item x="177"/>
        <item x="30"/>
        <item x="147"/>
        <item x="47"/>
        <item x="126"/>
        <item x="180"/>
        <item x="117"/>
        <item x="136"/>
        <item x="198"/>
        <item x="200"/>
        <item x="144"/>
        <item x="143"/>
        <item x="114"/>
        <item x="168"/>
        <item x="155"/>
        <item x="151"/>
        <item x="130"/>
        <item x="27"/>
        <item x="139"/>
        <item x="129"/>
        <item x="150"/>
        <item x="224"/>
        <item x="162"/>
        <item x="199"/>
        <item x="164"/>
        <item x="75"/>
        <item x="148"/>
        <item x="23"/>
        <item x="127"/>
        <item t="default"/>
      </items>
    </pivotField>
    <pivotField compact="0" showAll="0">
      <items count="149">
        <item x="53"/>
        <item x="67"/>
        <item x="101"/>
        <item x="84"/>
        <item x="98"/>
        <item x="51"/>
        <item x="104"/>
        <item x="108"/>
        <item x="144"/>
        <item x="110"/>
        <item x="37"/>
        <item x="34"/>
        <item x="76"/>
        <item x="137"/>
        <item x="18"/>
        <item x="7"/>
        <item x="31"/>
        <item x="125"/>
        <item x="138"/>
        <item x="63"/>
        <item x="30"/>
        <item x="118"/>
        <item x="95"/>
        <item x="13"/>
        <item x="133"/>
        <item x="11"/>
        <item x="70"/>
        <item x="85"/>
        <item x="93"/>
        <item x="94"/>
        <item x="35"/>
        <item x="103"/>
        <item x="146"/>
        <item x="52"/>
        <item x="117"/>
        <item x="109"/>
        <item x="115"/>
        <item x="59"/>
        <item x="22"/>
        <item x="139"/>
        <item x="114"/>
        <item x="91"/>
        <item x="44"/>
        <item x="9"/>
        <item x="88"/>
        <item x="36"/>
        <item x="135"/>
        <item x="26"/>
        <item x="46"/>
        <item x="73"/>
        <item x="99"/>
        <item x="5"/>
        <item x="77"/>
        <item x="55"/>
        <item x="21"/>
        <item x="78"/>
        <item x="49"/>
        <item x="2"/>
        <item x="64"/>
        <item x="47"/>
        <item x="113"/>
        <item x="68"/>
        <item x="147"/>
        <item x="28"/>
        <item x="54"/>
        <item x="8"/>
        <item x="86"/>
        <item x="62"/>
        <item x="123"/>
        <item x="127"/>
        <item x="141"/>
        <item x="32"/>
        <item x="145"/>
        <item x="12"/>
        <item x="58"/>
        <item x="120"/>
        <item x="56"/>
        <item x="100"/>
        <item x="60"/>
        <item x="97"/>
        <item x="41"/>
        <item x="72"/>
        <item x="14"/>
        <item x="1"/>
        <item x="96"/>
        <item x="43"/>
        <item x="122"/>
        <item x="65"/>
        <item x="79"/>
        <item x="40"/>
        <item x="92"/>
        <item x="48"/>
        <item x="19"/>
        <item x="130"/>
        <item x="39"/>
        <item x="136"/>
        <item x="105"/>
        <item x="87"/>
        <item x="81"/>
        <item x="20"/>
        <item x="142"/>
        <item x="128"/>
        <item x="10"/>
        <item x="42"/>
        <item x="38"/>
        <item x="69"/>
        <item x="126"/>
        <item x="90"/>
        <item x="25"/>
        <item x="111"/>
        <item x="116"/>
        <item x="106"/>
        <item x="6"/>
        <item x="134"/>
        <item x="50"/>
        <item x="107"/>
        <item x="74"/>
        <item x="23"/>
        <item x="82"/>
        <item x="129"/>
        <item x="143"/>
        <item x="121"/>
        <item x="89"/>
        <item x="17"/>
        <item x="29"/>
        <item x="61"/>
        <item x="57"/>
        <item x="80"/>
        <item x="66"/>
        <item x="75"/>
        <item x="3"/>
        <item x="140"/>
        <item x="71"/>
        <item x="112"/>
        <item x="83"/>
        <item x="45"/>
        <item x="102"/>
        <item x="131"/>
        <item x="124"/>
        <item x="24"/>
        <item x="119"/>
        <item x="16"/>
        <item x="27"/>
        <item x="15"/>
        <item x="132"/>
        <item x="33"/>
        <item x="4"/>
        <item x="0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90">
        <item x="86"/>
        <item x="84"/>
        <item x="77"/>
        <item x="38"/>
        <item x="70"/>
        <item x="58"/>
        <item x="6"/>
        <item x="25"/>
        <item x="9"/>
        <item x="31"/>
        <item x="83"/>
        <item x="26"/>
        <item x="18"/>
        <item x="52"/>
        <item x="73"/>
        <item x="32"/>
        <item x="51"/>
        <item x="75"/>
        <item x="8"/>
        <item x="48"/>
        <item x="16"/>
        <item x="36"/>
        <item x="34"/>
        <item x="24"/>
        <item x="19"/>
        <item x="11"/>
        <item x="64"/>
        <item x="23"/>
        <item x="0"/>
        <item x="41"/>
        <item x="69"/>
        <item x="42"/>
        <item x="82"/>
        <item x="37"/>
        <item x="2"/>
        <item x="7"/>
        <item x="17"/>
        <item x="30"/>
        <item x="28"/>
        <item x="4"/>
        <item x="39"/>
        <item x="85"/>
        <item x="14"/>
        <item x="35"/>
        <item x="50"/>
        <item x="40"/>
        <item x="15"/>
        <item x="87"/>
        <item x="3"/>
        <item x="62"/>
        <item x="53"/>
        <item x="46"/>
        <item x="1"/>
        <item x="12"/>
        <item x="20"/>
        <item x="56"/>
        <item x="66"/>
        <item x="22"/>
        <item x="71"/>
        <item x="57"/>
        <item x="33"/>
        <item x="63"/>
        <item x="43"/>
        <item x="47"/>
        <item x="76"/>
        <item x="27"/>
        <item x="61"/>
        <item x="54"/>
        <item x="67"/>
        <item x="78"/>
        <item x="5"/>
        <item x="13"/>
        <item x="55"/>
        <item x="60"/>
        <item x="79"/>
        <item x="10"/>
        <item x="44"/>
        <item x="72"/>
        <item x="59"/>
        <item x="65"/>
        <item x="68"/>
        <item x="74"/>
        <item x="29"/>
        <item x="21"/>
        <item x="81"/>
        <item x="49"/>
        <item x="45"/>
        <item x="88"/>
        <item x="80"/>
        <item t="default"/>
      </items>
    </pivotField>
  </pivotFields>
  <rowFields count="2">
    <field x="2"/>
    <field x="4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Passeng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96:D99" firstHeaderRow="1" firstDataRow="2" firstDataCol="1"/>
  <pivotFields count="13">
    <pivotField dataField="1" compact="0" showAll="0">
      <items count="8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t="default"/>
      </items>
    </pivotField>
    <pivotField axis="axisCol" compact="0" showAll="0">
      <items count="3">
        <item x="0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892">
        <item x="845"/>
        <item x="746"/>
        <item x="279"/>
        <item x="308"/>
        <item x="874"/>
        <item x="365"/>
        <item x="401"/>
        <item x="40"/>
        <item x="855"/>
        <item x="207"/>
        <item x="810"/>
        <item x="840"/>
        <item x="210"/>
        <item x="784"/>
        <item x="730"/>
        <item x="4"/>
        <item x="305"/>
        <item x="297"/>
        <item x="498"/>
        <item x="834"/>
        <item x="192"/>
        <item x="460"/>
        <item x="850"/>
        <item x="813"/>
        <item x="119"/>
        <item x="68"/>
        <item x="541"/>
        <item x="542"/>
        <item x="13"/>
        <item x="146"/>
        <item x="610"/>
        <item x="91"/>
        <item x="144"/>
        <item x="275"/>
        <item x="806"/>
        <item x="518"/>
        <item x="571"/>
        <item x="353"/>
        <item x="49"/>
        <item x="493"/>
        <item x="363"/>
        <item x="182"/>
        <item x="261"/>
        <item x="233"/>
        <item x="25"/>
        <item x="700"/>
        <item x="114"/>
        <item x="244"/>
        <item x="369"/>
        <item x="833"/>
        <item x="780"/>
        <item x="206"/>
        <item x="85"/>
        <item x="644"/>
        <item x="469"/>
        <item x="448"/>
        <item x="858"/>
        <item x="661"/>
        <item x="757"/>
        <item x="870"/>
        <item x="327"/>
        <item x="883"/>
        <item x="762"/>
        <item x="702"/>
        <item x="362"/>
        <item x="290"/>
        <item x="630"/>
        <item x="112"/>
        <item x="150"/>
        <item x="168"/>
        <item x="118"/>
        <item x="299"/>
        <item x="218"/>
        <item x="543"/>
        <item x="546"/>
        <item x="372"/>
        <item x="183"/>
        <item x="618"/>
        <item x="248"/>
        <item x="871"/>
        <item x="21"/>
        <item x="889"/>
        <item x="162"/>
        <item x="225"/>
        <item x="733"/>
        <item x="378"/>
        <item x="380"/>
        <item x="74"/>
        <item x="408"/>
        <item x="484"/>
        <item x="291"/>
        <item x="269"/>
        <item x="430"/>
        <item x="339"/>
        <item x="209"/>
        <item x="11"/>
        <item x="628"/>
        <item x="852"/>
        <item x="598"/>
        <item x="140"/>
        <item x="593"/>
        <item x="188"/>
        <item x="657"/>
        <item x="624"/>
        <item x="356"/>
        <item x="221"/>
        <item x="507"/>
        <item x="477"/>
        <item x="0"/>
        <item x="766"/>
        <item x="614"/>
        <item x="345"/>
        <item x="684"/>
        <item x="194"/>
        <item x="670"/>
        <item x="728"/>
        <item x="143"/>
        <item x="337"/>
        <item x="387"/>
        <item x="666"/>
        <item x="536"/>
        <item x="149"/>
        <item x="865"/>
        <item x="534"/>
        <item x="471"/>
        <item x="270"/>
        <item x="707"/>
        <item x="78"/>
        <item x="323"/>
        <item x="163"/>
        <item x="500"/>
        <item x="211"/>
        <item x="466"/>
        <item x="501"/>
        <item x="37"/>
        <item x="578"/>
        <item x="191"/>
        <item x="679"/>
        <item x="756"/>
        <item x="872"/>
        <item x="208"/>
        <item x="83"/>
        <item x="802"/>
        <item x="435"/>
        <item x="390"/>
        <item x="854"/>
        <item x="763"/>
        <item x="249"/>
        <item x="741"/>
        <item x="89"/>
        <item x="92"/>
        <item x="724"/>
        <item x="809"/>
        <item x="695"/>
        <item x="594"/>
        <item x="421"/>
        <item x="257"/>
        <item x="166"/>
        <item x="838"/>
        <item x="90"/>
        <item x="580"/>
        <item x="73"/>
        <item x="426"/>
        <item x="708"/>
        <item x="475"/>
        <item x="131"/>
        <item x="204"/>
        <item x="663"/>
        <item x="514"/>
        <item x="242"/>
        <item x="342"/>
        <item x="662"/>
        <item x="237"/>
        <item x="637"/>
        <item x="801"/>
        <item x="835"/>
        <item x="749"/>
        <item x="289"/>
        <item x="116"/>
        <item x="668"/>
        <item x="646"/>
        <item x="157"/>
        <item x="489"/>
        <item x="348"/>
        <item x="94"/>
        <item x="67"/>
        <item x="160"/>
        <item x="745"/>
        <item x="540"/>
        <item x="844"/>
        <item x="1"/>
        <item x="413"/>
        <item x="338"/>
        <item x="882"/>
        <item x="687"/>
        <item x="510"/>
        <item x="857"/>
        <item x="616"/>
        <item x="423"/>
        <item x="607"/>
        <item x="321"/>
        <item x="794"/>
        <item x="671"/>
        <item x="549"/>
        <item x="565"/>
        <item x="385"/>
        <item x="635"/>
        <item x="347"/>
        <item x="559"/>
        <item x="286"/>
        <item x="282"/>
        <item x="788"/>
        <item x="93"/>
        <item x="361"/>
        <item x="335"/>
        <item x="320"/>
        <item x="44"/>
        <item x="690"/>
        <item x="781"/>
        <item x="349"/>
        <item x="445"/>
        <item x="568"/>
        <item x="651"/>
        <item x="98"/>
        <item x="890"/>
        <item x="283"/>
        <item x="544"/>
        <item x="79"/>
        <item x="582"/>
        <item x="130"/>
        <item x="416"/>
        <item x="280"/>
        <item x="556"/>
        <item x="599"/>
        <item x="866"/>
        <item x="675"/>
        <item x="658"/>
        <item x="764"/>
        <item x="129"/>
        <item x="773"/>
        <item x="532"/>
        <item x="352"/>
        <item x="592"/>
        <item x="777"/>
        <item x="26"/>
        <item x="716"/>
        <item x="496"/>
        <item x="228"/>
        <item x="525"/>
        <item x="527"/>
        <item x="53"/>
        <item x="688"/>
        <item x="306"/>
        <item x="428"/>
        <item x="825"/>
        <item x="572"/>
        <item x="643"/>
        <item x="436"/>
        <item x="147"/>
        <item x="86"/>
        <item x="736"/>
        <item x="452"/>
        <item x="341"/>
        <item x="88"/>
        <item x="27"/>
        <item x="438"/>
        <item x="344"/>
        <item x="309"/>
        <item x="660"/>
        <item x="334"/>
        <item x="539"/>
        <item x="587"/>
        <item x="481"/>
        <item x="815"/>
        <item x="357"/>
        <item x="137"/>
        <item x="3"/>
        <item x="20"/>
        <item x="405"/>
        <item x="703"/>
        <item x="760"/>
        <item x="576"/>
        <item x="791"/>
        <item x="619"/>
        <item x="462"/>
        <item x="420"/>
        <item x="139"/>
        <item x="861"/>
        <item x="588"/>
        <item x="864"/>
        <item x="722"/>
        <item x="156"/>
        <item x="213"/>
        <item x="32"/>
        <item x="453"/>
        <item x="849"/>
        <item x="96"/>
        <item x="165"/>
        <item x="548"/>
        <item x="328"/>
        <item x="465"/>
        <item x="480"/>
        <item x="386"/>
        <item x="59"/>
        <item x="71"/>
        <item x="683"/>
        <item x="678"/>
        <item x="887"/>
        <item x="332"/>
        <item x="268"/>
        <item x="222"/>
        <item x="714"/>
        <item x="97"/>
        <item x="769"/>
        <item x="789"/>
        <item x="876"/>
        <item x="104"/>
        <item x="392"/>
        <item x="379"/>
        <item x="293"/>
        <item x="451"/>
        <item x="490"/>
        <item x="403"/>
        <item x="142"/>
        <item x="178"/>
        <item x="755"/>
        <item x="247"/>
        <item x="441"/>
        <item x="296"/>
        <item x="860"/>
        <item x="704"/>
        <item x="623"/>
        <item x="370"/>
        <item x="235"/>
        <item x="785"/>
        <item x="720"/>
        <item x="645"/>
        <item x="52"/>
        <item x="848"/>
        <item x="602"/>
        <item x="570"/>
        <item x="62"/>
        <item x="219"/>
        <item x="230"/>
        <item x="263"/>
        <item x="535"/>
        <item x="314"/>
        <item x="411"/>
        <item x="440"/>
        <item x="681"/>
        <item x="731"/>
        <item x="740"/>
        <item x="310"/>
        <item x="820"/>
        <item x="274"/>
        <item x="804"/>
        <item x="654"/>
        <item x="2"/>
        <item x="816"/>
        <item x="313"/>
        <item x="264"/>
        <item x="615"/>
        <item x="754"/>
        <item x="15"/>
        <item x="655"/>
        <item x="665"/>
        <item x="120"/>
        <item x="329"/>
        <item x="523"/>
        <item x="479"/>
        <item x="529"/>
        <item x="774"/>
        <item x="723"/>
        <item x="765"/>
        <item x="236"/>
        <item x="818"/>
        <item x="35"/>
        <item x="383"/>
        <item x="604"/>
        <item x="216"/>
        <item x="72"/>
        <item x="613"/>
        <item x="288"/>
        <item x="224"/>
        <item x="793"/>
        <item x="486"/>
        <item x="699"/>
        <item x="239"/>
        <item x="798"/>
        <item x="61"/>
        <item x="84"/>
        <item x="729"/>
        <item x="177"/>
        <item x="738"/>
        <item x="217"/>
        <item x="600"/>
        <item x="455"/>
        <item x="391"/>
        <item x="611"/>
        <item x="586"/>
        <item x="70"/>
        <item x="640"/>
        <item x="771"/>
        <item x="721"/>
        <item x="368"/>
        <item x="473"/>
        <item x="444"/>
        <item x="202"/>
        <item x="395"/>
        <item x="103"/>
        <item x="805"/>
        <item x="869"/>
        <item x="172"/>
        <item x="597"/>
        <item x="719"/>
        <item x="302"/>
        <item x="8"/>
        <item x="888"/>
        <item x="783"/>
        <item x="753"/>
        <item x="569"/>
        <item x="113"/>
        <item x="402"/>
        <item x="579"/>
        <item x="433"/>
        <item x="652"/>
        <item x="99"/>
        <item x="316"/>
        <item x="606"/>
        <item x="478"/>
        <item x="691"/>
        <item x="524"/>
        <item x="303"/>
        <item x="790"/>
        <item x="470"/>
        <item x="300"/>
        <item x="573"/>
        <item x="696"/>
        <item x="706"/>
        <item x="487"/>
        <item x="457"/>
        <item x="214"/>
        <item x="778"/>
        <item x="621"/>
        <item x="69"/>
        <item x="184"/>
        <item x="626"/>
        <item x="711"/>
        <item x="175"/>
        <item x="732"/>
        <item x="42"/>
        <item x="439"/>
        <item x="522"/>
        <item x="312"/>
        <item x="503"/>
        <item x="878"/>
        <item x="692"/>
        <item x="826"/>
        <item x="376"/>
        <item x="509"/>
        <item x="43"/>
        <item x="685"/>
        <item x="608"/>
        <item x="713"/>
        <item x="231"/>
        <item x="796"/>
        <item x="553"/>
        <item x="176"/>
        <item x="409"/>
        <item x="485"/>
        <item x="229"/>
        <item x="389"/>
        <item x="636"/>
        <item x="596"/>
        <item x="843"/>
        <item x="516"/>
        <item x="46"/>
        <item x="179"/>
        <item x="537"/>
        <item x="811"/>
        <item x="737"/>
        <item x="292"/>
        <item x="295"/>
        <item x="234"/>
        <item x="770"/>
        <item x="246"/>
        <item x="276"/>
        <item x="605"/>
        <item x="664"/>
        <item x="853"/>
        <item x="169"/>
        <item x="253"/>
        <item x="617"/>
        <item x="782"/>
        <item x="627"/>
        <item x="432"/>
        <item x="227"/>
        <item x="821"/>
        <item x="631"/>
        <item x="195"/>
        <item x="772"/>
        <item x="198"/>
        <item x="689"/>
        <item x="127"/>
        <item x="243"/>
        <item x="504"/>
        <item x="464"/>
        <item x="827"/>
        <item x="817"/>
        <item x="36"/>
        <item x="767"/>
        <item x="727"/>
        <item x="839"/>
        <item x="847"/>
        <item x="881"/>
        <item x="748"/>
        <item x="19"/>
        <item x="418"/>
        <item x="710"/>
        <item x="6"/>
        <item x="828"/>
        <item x="330"/>
        <item x="301"/>
        <item x="82"/>
        <item x="718"/>
        <item x="512"/>
        <item x="358"/>
        <item x="22"/>
        <item x="397"/>
        <item x="126"/>
        <item x="743"/>
        <item x="564"/>
        <item x="415"/>
        <item x="446"/>
        <item x="272"/>
        <item x="226"/>
        <item x="152"/>
        <item x="196"/>
        <item x="808"/>
        <item x="34"/>
        <item x="375"/>
        <item x="456"/>
        <item x="463"/>
        <item x="245"/>
        <item x="412"/>
        <item x="294"/>
        <item x="105"/>
        <item x="672"/>
        <item x="650"/>
        <item x="359"/>
        <item x="75"/>
        <item x="492"/>
        <item x="886"/>
        <item x="751"/>
        <item x="823"/>
        <item x="121"/>
        <item x="109"/>
        <item x="768"/>
        <item x="5"/>
        <item x="317"/>
        <item x="705"/>
        <item x="461"/>
        <item x="560"/>
        <item x="107"/>
        <item x="65"/>
        <item x="709"/>
        <item x="367"/>
        <item x="77"/>
        <item x="841"/>
        <item x="697"/>
        <item x="589"/>
        <item x="241"/>
        <item x="612"/>
        <item x="775"/>
        <item x="287"/>
        <item x="875"/>
        <item x="381"/>
        <item x="622"/>
        <item x="739"/>
        <item x="122"/>
        <item x="9"/>
        <item x="273"/>
        <item x="340"/>
        <item x="193"/>
        <item x="148"/>
        <item x="223"/>
        <item x="215"/>
        <item x="393"/>
        <item x="659"/>
        <item x="136"/>
        <item x="145"/>
        <item x="545"/>
        <item x="125"/>
        <item x="39"/>
        <item x="315"/>
        <item x="761"/>
        <item x="400"/>
        <item x="562"/>
        <item x="51"/>
        <item x="57"/>
        <item x="66"/>
        <item x="141"/>
        <item x="326"/>
        <item x="364"/>
        <item x="552"/>
        <item x="186"/>
        <item x="629"/>
        <item x="459"/>
        <item x="350"/>
        <item x="47"/>
        <item x="28"/>
        <item x="554"/>
        <item x="653"/>
        <item x="508"/>
        <item x="197"/>
        <item x="154"/>
        <item x="396"/>
        <item x="281"/>
        <item x="682"/>
        <item x="404"/>
        <item x="725"/>
        <item x="138"/>
        <item x="797"/>
        <item x="54"/>
        <item x="502"/>
        <item x="795"/>
        <item x="547"/>
        <item x="398"/>
        <item x="7"/>
        <item x="374"/>
        <item x="24"/>
        <item x="567"/>
        <item x="164"/>
        <item x="50"/>
        <item x="824"/>
        <item x="266"/>
        <item x="686"/>
        <item x="638"/>
        <item x="277"/>
        <item x="633"/>
        <item x="259"/>
        <item x="331"/>
        <item x="836"/>
        <item x="575"/>
        <item x="584"/>
        <item x="519"/>
        <item x="336"/>
        <item x="151"/>
        <item x="454"/>
        <item x="115"/>
        <item x="505"/>
        <item x="307"/>
        <item x="238"/>
        <item x="212"/>
        <item x="181"/>
        <item x="520"/>
        <item x="267"/>
        <item x="128"/>
        <item x="533"/>
        <item x="680"/>
        <item x="100"/>
        <item x="877"/>
        <item x="101"/>
        <item x="442"/>
        <item x="807"/>
        <item x="449"/>
        <item x="427"/>
        <item x="429"/>
        <item x="190"/>
        <item x="384"/>
        <item x="800"/>
        <item x="110"/>
        <item x="879"/>
        <item x="530"/>
        <item x="506"/>
        <item x="656"/>
        <item x="859"/>
        <item x="250"/>
        <item x="265"/>
        <item x="108"/>
        <item x="476"/>
        <item x="726"/>
        <item x="822"/>
        <item x="443"/>
        <item x="171"/>
        <item x="278"/>
        <item x="16"/>
        <item x="787"/>
        <item x="885"/>
        <item x="135"/>
        <item x="831"/>
        <item x="407"/>
        <item x="437"/>
        <item x="526"/>
        <item x="373"/>
        <item x="590"/>
        <item x="538"/>
        <item x="557"/>
        <item x="779"/>
        <item x="132"/>
        <item x="867"/>
        <item x="45"/>
        <item x="187"/>
        <item x="667"/>
        <item x="185"/>
        <item x="424"/>
        <item x="254"/>
        <item x="583"/>
        <item x="759"/>
        <item x="513"/>
        <item x="482"/>
        <item x="56"/>
        <item x="574"/>
        <item x="517"/>
        <item x="311"/>
        <item x="742"/>
        <item x="832"/>
        <item x="693"/>
        <item x="298"/>
        <item x="388"/>
        <item x="159"/>
        <item x="180"/>
        <item x="863"/>
        <item x="792"/>
        <item x="846"/>
        <item x="201"/>
        <item x="324"/>
        <item x="641"/>
        <item x="106"/>
        <item x="528"/>
        <item x="48"/>
        <item x="10"/>
        <item x="394"/>
        <item x="12"/>
        <item x="676"/>
        <item x="468"/>
        <item x="410"/>
        <item x="343"/>
        <item x="842"/>
        <item x="447"/>
        <item x="551"/>
        <item x="81"/>
        <item x="497"/>
        <item x="880"/>
        <item x="95"/>
        <item x="609"/>
        <item x="417"/>
        <item x="701"/>
        <item x="434"/>
        <item x="577"/>
        <item x="563"/>
        <item x="647"/>
        <item x="747"/>
        <item x="60"/>
        <item x="837"/>
        <item x="561"/>
        <item x="173"/>
        <item x="786"/>
        <item x="232"/>
        <item x="63"/>
        <item x="819"/>
        <item x="634"/>
        <item x="642"/>
        <item x="360"/>
        <item x="167"/>
        <item x="601"/>
        <item x="322"/>
        <item x="812"/>
        <item x="87"/>
        <item x="23"/>
        <item x="467"/>
        <item x="158"/>
        <item x="346"/>
        <item x="174"/>
        <item x="284"/>
        <item x="260"/>
        <item x="134"/>
        <item x="715"/>
        <item x="488"/>
        <item x="319"/>
        <item x="31"/>
        <item x="632"/>
        <item x="76"/>
        <item x="285"/>
        <item x="649"/>
        <item x="494"/>
        <item x="252"/>
        <item x="591"/>
        <item x="64"/>
        <item x="829"/>
        <item x="566"/>
        <item x="474"/>
        <item x="744"/>
        <item x="205"/>
        <item x="251"/>
        <item x="220"/>
        <item x="414"/>
        <item x="884"/>
        <item x="625"/>
        <item x="851"/>
        <item x="499"/>
        <item x="862"/>
        <item x="585"/>
        <item x="262"/>
        <item x="558"/>
        <item x="712"/>
        <item x="669"/>
        <item x="698"/>
        <item x="550"/>
        <item x="581"/>
        <item x="758"/>
        <item x="803"/>
        <item x="256"/>
        <item x="639"/>
        <item x="431"/>
        <item x="382"/>
        <item x="776"/>
        <item x="29"/>
        <item x="814"/>
        <item x="458"/>
        <item x="603"/>
        <item x="271"/>
        <item x="531"/>
        <item x="255"/>
        <item x="734"/>
        <item x="399"/>
        <item x="717"/>
        <item x="189"/>
        <item x="677"/>
        <item x="483"/>
        <item x="117"/>
        <item x="41"/>
        <item x="30"/>
        <item x="153"/>
        <item x="170"/>
        <item x="419"/>
        <item x="595"/>
        <item x="799"/>
        <item x="868"/>
        <item x="752"/>
        <item x="200"/>
        <item x="355"/>
        <item x="873"/>
        <item x="38"/>
        <item x="333"/>
        <item x="18"/>
        <item x="14"/>
        <item x="521"/>
        <item x="80"/>
        <item x="515"/>
        <item x="258"/>
        <item x="366"/>
        <item x="674"/>
        <item x="161"/>
        <item x="123"/>
        <item x="511"/>
        <item x="694"/>
        <item x="133"/>
        <item x="750"/>
        <item x="58"/>
        <item x="450"/>
        <item x="472"/>
        <item x="33"/>
        <item x="124"/>
        <item x="102"/>
        <item x="318"/>
        <item x="856"/>
        <item x="406"/>
        <item x="377"/>
        <item x="371"/>
        <item x="673"/>
        <item x="648"/>
        <item x="155"/>
        <item x="17"/>
        <item x="304"/>
        <item x="735"/>
        <item x="351"/>
        <item x="491"/>
        <item x="425"/>
        <item x="55"/>
        <item x="555"/>
        <item x="620"/>
        <item x="830"/>
        <item x="325"/>
        <item x="203"/>
        <item x="354"/>
        <item x="495"/>
        <item x="199"/>
        <item x="111"/>
        <item x="240"/>
        <item x="42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90">
        <item x="86"/>
        <item x="84"/>
        <item x="77"/>
        <item x="38"/>
        <item x="70"/>
        <item x="58"/>
        <item x="6"/>
        <item x="25"/>
        <item x="9"/>
        <item x="31"/>
        <item x="83"/>
        <item x="26"/>
        <item x="18"/>
        <item x="52"/>
        <item x="73"/>
        <item x="32"/>
        <item x="51"/>
        <item x="75"/>
        <item x="8"/>
        <item x="48"/>
        <item x="16"/>
        <item x="36"/>
        <item x="34"/>
        <item x="24"/>
        <item x="19"/>
        <item x="11"/>
        <item x="64"/>
        <item x="23"/>
        <item x="0"/>
        <item x="41"/>
        <item x="69"/>
        <item x="42"/>
        <item x="82"/>
        <item x="37"/>
        <item x="2"/>
        <item x="7"/>
        <item x="17"/>
        <item x="30"/>
        <item x="28"/>
        <item x="39"/>
        <item x="85"/>
        <item x="14"/>
        <item x="35"/>
        <item x="50"/>
        <item x="40"/>
        <item x="15"/>
        <item x="87"/>
        <item x="3"/>
        <item x="62"/>
        <item x="53"/>
        <item x="46"/>
        <item x="1"/>
        <item x="12"/>
        <item x="20"/>
        <item x="56"/>
        <item x="66"/>
        <item x="22"/>
        <item x="71"/>
        <item x="57"/>
        <item x="33"/>
        <item x="63"/>
        <item x="43"/>
        <item x="47"/>
        <item x="76"/>
        <item x="27"/>
        <item x="61"/>
        <item x="54"/>
        <item x="67"/>
        <item x="78"/>
        <item x="5"/>
        <item x="13"/>
        <item x="55"/>
        <item x="60"/>
        <item x="79"/>
        <item x="10"/>
        <item x="44"/>
        <item x="72"/>
        <item x="59"/>
        <item x="65"/>
        <item x="68"/>
        <item x="74"/>
        <item x="29"/>
        <item x="21"/>
        <item x="81"/>
        <item x="49"/>
        <item x="45"/>
        <item x="88"/>
        <item x="80"/>
        <item x="4"/>
        <item t="default"/>
      </items>
    </pivotField>
    <pivotField axis="axisRow" compact="0" multipleItemSelectionAllowed="1" showAll="0">
      <items count="8">
        <item h="1" x="1"/>
        <item h="1" x="0"/>
        <item x="4"/>
        <item h="1" x="2"/>
        <item h="1" x="3"/>
        <item h="1" x="5"/>
        <item h="1" x="6"/>
        <item t="default"/>
      </items>
    </pivotField>
    <pivotField compact="0" showAll="0">
      <items count="8">
        <item x="0"/>
        <item x="1"/>
        <item x="2"/>
        <item x="4"/>
        <item x="5"/>
        <item x="3"/>
        <item x="6"/>
        <item t="default"/>
      </items>
    </pivotField>
    <pivotField compact="0" showAll="0">
      <items count="682">
        <item x="453"/>
        <item x="668"/>
        <item x="72"/>
        <item x="363"/>
        <item x="644"/>
        <item x="457"/>
        <item x="530"/>
        <item x="437"/>
        <item x="625"/>
        <item x="317"/>
        <item x="111"/>
        <item x="182"/>
        <item x="658"/>
        <item x="25"/>
        <item x="444"/>
        <item x="307"/>
        <item x="325"/>
        <item x="19"/>
        <item x="228"/>
        <item x="38"/>
        <item x="328"/>
        <item x="505"/>
        <item x="64"/>
        <item x="47"/>
        <item x="599"/>
        <item x="492"/>
        <item x="108"/>
        <item x="379"/>
        <item x="670"/>
        <item x="119"/>
        <item x="59"/>
        <item x="642"/>
        <item x="553"/>
        <item x="607"/>
        <item x="35"/>
        <item x="130"/>
        <item x="71"/>
        <item x="650"/>
        <item x="624"/>
        <item x="469"/>
        <item x="612"/>
        <item x="478"/>
        <item x="445"/>
        <item x="313"/>
        <item x="265"/>
        <item x="218"/>
        <item x="306"/>
        <item x="56"/>
        <item x="185"/>
        <item x="438"/>
        <item x="452"/>
        <item x="52"/>
        <item x="482"/>
        <item x="403"/>
        <item x="631"/>
        <item x="160"/>
        <item x="408"/>
        <item x="422"/>
        <item x="110"/>
        <item x="344"/>
        <item x="545"/>
        <item x="177"/>
        <item x="531"/>
        <item x="547"/>
        <item x="304"/>
        <item x="128"/>
        <item x="100"/>
        <item x="566"/>
        <item x="39"/>
        <item x="674"/>
        <item x="401"/>
        <item x="294"/>
        <item x="603"/>
        <item x="525"/>
        <item x="268"/>
        <item x="40"/>
        <item x="222"/>
        <item x="127"/>
        <item x="506"/>
        <item x="460"/>
        <item x="320"/>
        <item x="276"/>
        <item x="472"/>
        <item x="409"/>
        <item x="648"/>
        <item x="196"/>
        <item x="260"/>
        <item x="573"/>
        <item x="618"/>
        <item x="435"/>
        <item x="481"/>
        <item x="521"/>
        <item x="515"/>
        <item x="245"/>
        <item x="371"/>
        <item x="386"/>
        <item x="484"/>
        <item x="450"/>
        <item x="46"/>
        <item x="474"/>
        <item x="318"/>
        <item x="485"/>
        <item x="284"/>
        <item x="585"/>
        <item x="272"/>
        <item x="383"/>
        <item x="6"/>
        <item x="387"/>
        <item x="622"/>
        <item x="661"/>
        <item x="551"/>
        <item x="158"/>
        <item x="259"/>
        <item x="219"/>
        <item x="202"/>
        <item x="54"/>
        <item x="26"/>
        <item x="390"/>
        <item x="639"/>
        <item x="267"/>
        <item x="537"/>
        <item x="200"/>
        <item x="550"/>
        <item x="423"/>
        <item x="211"/>
        <item x="513"/>
        <item x="116"/>
        <item x="331"/>
        <item x="660"/>
        <item x="632"/>
        <item x="621"/>
        <item x="354"/>
        <item x="356"/>
        <item x="339"/>
        <item x="173"/>
        <item x="581"/>
        <item x="289"/>
        <item x="346"/>
        <item x="213"/>
        <item x="282"/>
        <item x="591"/>
        <item x="443"/>
        <item x="608"/>
        <item x="348"/>
        <item x="596"/>
        <item x="538"/>
        <item x="529"/>
        <item x="402"/>
        <item x="504"/>
        <item x="300"/>
        <item x="377"/>
        <item x="569"/>
        <item x="193"/>
        <item x="99"/>
        <item x="145"/>
        <item x="557"/>
        <item x="397"/>
        <item x="570"/>
        <item x="560"/>
        <item x="611"/>
        <item x="577"/>
        <item x="283"/>
        <item x="416"/>
        <item x="509"/>
        <item x="431"/>
        <item x="61"/>
        <item x="508"/>
        <item x="381"/>
        <item x="411"/>
        <item x="376"/>
        <item x="230"/>
        <item x="234"/>
        <item x="107"/>
        <item x="367"/>
        <item x="316"/>
        <item x="156"/>
        <item x="392"/>
        <item x="290"/>
        <item x="679"/>
        <item x="496"/>
        <item x="424"/>
        <item x="169"/>
        <item x="628"/>
        <item x="516"/>
        <item x="678"/>
        <item x="634"/>
        <item x="235"/>
        <item x="187"/>
        <item x="601"/>
        <item x="565"/>
        <item x="291"/>
        <item x="447"/>
        <item x="382"/>
        <item x="657"/>
        <item x="253"/>
        <item x="81"/>
        <item x="613"/>
        <item x="324"/>
        <item x="154"/>
        <item x="53"/>
        <item x="305"/>
        <item x="225"/>
        <item x="60"/>
        <item x="334"/>
        <item x="167"/>
        <item x="589"/>
        <item x="140"/>
        <item x="266"/>
        <item x="11"/>
        <item x="295"/>
        <item x="380"/>
        <item x="413"/>
        <item x="23"/>
        <item x="34"/>
        <item x="396"/>
        <item x="378"/>
        <item x="494"/>
        <item x="241"/>
        <item x="554"/>
        <item x="3"/>
        <item x="499"/>
        <item x="575"/>
        <item x="459"/>
        <item x="677"/>
        <item x="464"/>
        <item x="510"/>
        <item x="199"/>
        <item x="503"/>
        <item x="562"/>
        <item x="270"/>
        <item x="433"/>
        <item x="124"/>
        <item x="298"/>
        <item x="137"/>
        <item x="165"/>
        <item x="232"/>
        <item x="375"/>
        <item x="95"/>
        <item x="134"/>
        <item x="582"/>
        <item x="662"/>
        <item x="393"/>
        <item x="172"/>
        <item x="534"/>
        <item x="287"/>
        <item x="206"/>
        <item x="663"/>
        <item x="578"/>
        <item x="208"/>
        <item x="483"/>
        <item x="517"/>
        <item x="309"/>
        <item x="9"/>
        <item x="480"/>
        <item x="257"/>
        <item x="247"/>
        <item x="406"/>
        <item x="580"/>
        <item x="542"/>
        <item x="20"/>
        <item x="341"/>
        <item x="195"/>
        <item x="477"/>
        <item x="223"/>
        <item x="541"/>
        <item x="340"/>
        <item x="138"/>
        <item x="455"/>
        <item x="297"/>
        <item x="96"/>
        <item x="17"/>
        <item x="21"/>
        <item x="15"/>
        <item x="630"/>
        <item x="491"/>
        <item x="555"/>
        <item x="299"/>
        <item x="76"/>
        <item x="296"/>
        <item x="179"/>
        <item x="574"/>
        <item x="242"/>
        <item x="191"/>
        <item x="567"/>
        <item x="588"/>
        <item x="221"/>
        <item x="278"/>
        <item x="355"/>
        <item x="162"/>
        <item x="364"/>
        <item x="104"/>
        <item x="349"/>
        <item x="535"/>
        <item x="147"/>
        <item x="360"/>
        <item x="446"/>
        <item x="419"/>
        <item x="303"/>
        <item x="399"/>
        <item x="651"/>
        <item x="152"/>
        <item x="576"/>
        <item x="345"/>
        <item x="646"/>
        <item x="638"/>
        <item x="68"/>
        <item x="166"/>
        <item x="398"/>
        <item x="322"/>
        <item x="109"/>
        <item x="5"/>
        <item x="421"/>
        <item x="526"/>
        <item x="22"/>
        <item x="310"/>
        <item x="80"/>
        <item x="546"/>
        <item x="43"/>
        <item x="27"/>
        <item x="456"/>
        <item x="311"/>
        <item x="512"/>
        <item x="590"/>
        <item x="31"/>
        <item x="249"/>
        <item x="343"/>
        <item x="544"/>
        <item x="353"/>
        <item x="103"/>
        <item x="86"/>
        <item x="87"/>
        <item x="288"/>
        <item x="461"/>
        <item x="18"/>
        <item x="37"/>
        <item x="669"/>
        <item x="78"/>
        <item x="373"/>
        <item x="180"/>
        <item x="357"/>
        <item x="255"/>
        <item x="666"/>
        <item x="251"/>
        <item x="79"/>
        <item x="593"/>
        <item x="604"/>
        <item x="308"/>
        <item x="184"/>
        <item x="654"/>
        <item x="120"/>
        <item x="571"/>
        <item x="627"/>
        <item x="347"/>
        <item x="207"/>
        <item x="151"/>
        <item x="326"/>
        <item x="220"/>
        <item x="246"/>
        <item x="600"/>
        <item x="374"/>
        <item x="24"/>
        <item x="609"/>
        <item x="361"/>
        <item x="131"/>
        <item x="13"/>
        <item x="238"/>
        <item x="458"/>
        <item x="629"/>
        <item x="62"/>
        <item x="626"/>
        <item x="250"/>
        <item x="88"/>
        <item x="643"/>
        <item x="281"/>
        <item x="8"/>
        <item x="514"/>
        <item x="558"/>
        <item x="73"/>
        <item x="568"/>
        <item x="583"/>
        <item x="620"/>
        <item x="594"/>
        <item x="468"/>
        <item x="256"/>
        <item x="102"/>
        <item x="74"/>
        <item x="430"/>
        <item x="532"/>
        <item x="671"/>
        <item x="653"/>
        <item x="493"/>
        <item x="98"/>
        <item x="28"/>
        <item x="672"/>
        <item x="584"/>
        <item x="286"/>
        <item x="524"/>
        <item x="350"/>
        <item x="528"/>
        <item x="511"/>
        <item x="293"/>
        <item x="330"/>
        <item x="548"/>
        <item x="520"/>
        <item x="263"/>
        <item x="201"/>
        <item x="262"/>
        <item x="48"/>
        <item x="254"/>
        <item x="385"/>
        <item x="121"/>
        <item x="434"/>
        <item x="279"/>
        <item x="623"/>
        <item x="97"/>
        <item x="498"/>
        <item x="171"/>
        <item x="667"/>
        <item x="105"/>
        <item x="463"/>
        <item x="436"/>
        <item x="41"/>
        <item x="358"/>
        <item x="552"/>
        <item x="673"/>
        <item x="7"/>
        <item x="497"/>
        <item x="543"/>
        <item x="561"/>
        <item x="659"/>
        <item x="507"/>
        <item x="335"/>
        <item x="418"/>
        <item x="549"/>
        <item x="595"/>
        <item x="136"/>
        <item x="174"/>
        <item x="605"/>
        <item x="572"/>
        <item x="519"/>
        <item x="337"/>
        <item x="404"/>
        <item x="159"/>
        <item x="14"/>
        <item x="338"/>
        <item x="470"/>
        <item x="476"/>
        <item x="224"/>
        <item x="153"/>
        <item x="597"/>
        <item x="556"/>
        <item x="449"/>
        <item x="633"/>
        <item x="91"/>
        <item x="391"/>
        <item x="495"/>
        <item x="502"/>
        <item x="77"/>
        <item x="420"/>
        <item x="489"/>
        <item x="170"/>
        <item x="602"/>
        <item x="365"/>
        <item x="133"/>
        <item x="527"/>
        <item x="269"/>
        <item x="641"/>
        <item x="192"/>
        <item x="215"/>
        <item x="186"/>
        <item x="439"/>
        <item x="332"/>
        <item x="640"/>
        <item x="176"/>
        <item x="227"/>
        <item x="168"/>
        <item x="113"/>
        <item x="178"/>
        <item x="45"/>
        <item x="117"/>
        <item x="258"/>
        <item x="244"/>
        <item x="680"/>
        <item x="501"/>
        <item x="389"/>
        <item x="106"/>
        <item x="149"/>
        <item x="462"/>
        <item x="4"/>
        <item x="75"/>
        <item x="616"/>
        <item x="92"/>
        <item x="368"/>
        <item x="586"/>
        <item x="236"/>
        <item x="426"/>
        <item x="16"/>
        <item x="610"/>
        <item x="233"/>
        <item x="301"/>
        <item x="656"/>
        <item x="647"/>
        <item x="592"/>
        <item x="351"/>
        <item x="181"/>
        <item x="617"/>
        <item x="321"/>
        <item x="101"/>
        <item x="336"/>
        <item x="83"/>
        <item x="67"/>
        <item x="49"/>
        <item x="442"/>
        <item x="405"/>
        <item x="36"/>
        <item x="486"/>
        <item x="141"/>
        <item x="410"/>
        <item x="415"/>
        <item x="467"/>
        <item x="475"/>
        <item x="362"/>
        <item x="50"/>
        <item x="0"/>
        <item x="285"/>
        <item x="205"/>
        <item x="190"/>
        <item x="271"/>
        <item x="384"/>
        <item x="536"/>
        <item x="183"/>
        <item x="407"/>
        <item x="488"/>
        <item x="252"/>
        <item x="359"/>
        <item x="12"/>
        <item x="226"/>
        <item x="123"/>
        <item x="142"/>
        <item x="394"/>
        <item x="115"/>
        <item x="118"/>
        <item x="425"/>
        <item x="637"/>
        <item x="315"/>
        <item x="323"/>
        <item x="237"/>
        <item x="372"/>
        <item x="90"/>
        <item x="32"/>
        <item x="540"/>
        <item x="248"/>
        <item x="125"/>
        <item x="65"/>
        <item x="209"/>
        <item x="55"/>
        <item x="212"/>
        <item x="69"/>
        <item x="135"/>
        <item x="150"/>
        <item x="432"/>
        <item x="57"/>
        <item x="302"/>
        <item x="652"/>
        <item x="417"/>
        <item x="675"/>
        <item x="58"/>
        <item x="523"/>
        <item x="148"/>
        <item x="539"/>
        <item x="189"/>
        <item x="280"/>
        <item x="388"/>
        <item x="143"/>
        <item x="163"/>
        <item x="274"/>
        <item x="155"/>
        <item x="428"/>
        <item x="473"/>
        <item x="559"/>
        <item x="563"/>
        <item x="319"/>
        <item x="564"/>
        <item x="441"/>
        <item x="275"/>
        <item x="114"/>
        <item x="30"/>
        <item x="51"/>
        <item x="239"/>
        <item x="229"/>
        <item x="665"/>
        <item x="655"/>
        <item x="129"/>
        <item x="161"/>
        <item x="243"/>
        <item x="144"/>
        <item x="1"/>
        <item x="619"/>
        <item x="29"/>
        <item x="429"/>
        <item x="33"/>
        <item x="63"/>
        <item x="277"/>
        <item x="414"/>
        <item x="175"/>
        <item x="292"/>
        <item x="264"/>
        <item x="93"/>
        <item x="231"/>
        <item x="645"/>
        <item x="327"/>
        <item x="273"/>
        <item x="94"/>
        <item x="240"/>
        <item x="448"/>
        <item x="203"/>
        <item x="10"/>
        <item x="44"/>
        <item x="636"/>
        <item x="606"/>
        <item x="522"/>
        <item x="70"/>
        <item x="139"/>
        <item x="66"/>
        <item x="471"/>
        <item x="333"/>
        <item x="490"/>
        <item x="369"/>
        <item x="400"/>
        <item x="42"/>
        <item x="164"/>
        <item x="126"/>
        <item x="454"/>
        <item x="664"/>
        <item x="261"/>
        <item x="312"/>
        <item x="214"/>
        <item x="82"/>
        <item x="500"/>
        <item x="395"/>
        <item x="122"/>
        <item x="314"/>
        <item x="188"/>
        <item x="615"/>
        <item x="366"/>
        <item x="466"/>
        <item x="598"/>
        <item x="649"/>
        <item x="427"/>
        <item x="412"/>
        <item x="676"/>
        <item x="465"/>
        <item x="85"/>
        <item x="198"/>
        <item x="146"/>
        <item x="352"/>
        <item x="487"/>
        <item x="370"/>
        <item x="217"/>
        <item x="157"/>
        <item x="533"/>
        <item x="479"/>
        <item x="587"/>
        <item x="342"/>
        <item x="518"/>
        <item x="329"/>
        <item x="112"/>
        <item x="579"/>
        <item x="132"/>
        <item x="2"/>
        <item x="194"/>
        <item x="635"/>
        <item x="204"/>
        <item x="440"/>
        <item x="216"/>
        <item x="614"/>
        <item x="84"/>
        <item x="210"/>
        <item x="89"/>
        <item x="197"/>
        <item x="451"/>
        <item t="default"/>
      </items>
    </pivotField>
    <pivotField compact="0" showAll="0">
      <items count="249">
        <item x="104"/>
        <item x="163"/>
        <item x="245"/>
        <item x="152"/>
        <item x="240"/>
        <item x="237"/>
        <item x="110"/>
        <item x="85"/>
        <item x="171"/>
        <item x="238"/>
        <item x="78"/>
        <item x="185"/>
        <item x="79"/>
        <item x="218"/>
        <item x="123"/>
        <item x="76"/>
        <item x="18"/>
        <item x="32"/>
        <item x="0"/>
        <item x="91"/>
        <item x="196"/>
        <item x="186"/>
        <item x="120"/>
        <item x="192"/>
        <item x="55"/>
        <item x="182"/>
        <item x="166"/>
        <item x="93"/>
        <item x="229"/>
        <item x="227"/>
        <item x="28"/>
        <item x="71"/>
        <item x="60"/>
        <item x="88"/>
        <item x="41"/>
        <item x="204"/>
        <item x="13"/>
        <item x="173"/>
        <item x="24"/>
        <item x="235"/>
        <item x="25"/>
        <item x="2"/>
        <item x="20"/>
        <item x="4"/>
        <item x="176"/>
        <item x="222"/>
        <item x="50"/>
        <item x="239"/>
        <item x="230"/>
        <item x="109"/>
        <item x="219"/>
        <item x="5"/>
        <item x="234"/>
        <item x="70"/>
        <item x="51"/>
        <item x="233"/>
        <item x="211"/>
        <item x="138"/>
        <item x="58"/>
        <item x="83"/>
        <item x="157"/>
        <item x="118"/>
        <item x="34"/>
        <item x="228"/>
        <item x="59"/>
        <item x="188"/>
        <item x="73"/>
        <item x="184"/>
        <item x="221"/>
        <item x="246"/>
        <item x="223"/>
        <item x="111"/>
        <item x="29"/>
        <item x="247"/>
        <item x="8"/>
        <item x="33"/>
        <item x="86"/>
        <item x="167"/>
        <item x="122"/>
        <item x="187"/>
        <item x="142"/>
        <item x="57"/>
        <item x="89"/>
        <item x="169"/>
        <item x="137"/>
        <item x="16"/>
        <item x="226"/>
        <item x="119"/>
        <item x="183"/>
        <item x="243"/>
        <item x="203"/>
        <item x="149"/>
        <item x="242"/>
        <item x="174"/>
        <item x="53"/>
        <item x="74"/>
        <item x="80"/>
        <item x="212"/>
        <item x="81"/>
        <item x="105"/>
        <item x="191"/>
        <item x="49"/>
        <item x="37"/>
        <item x="215"/>
        <item x="165"/>
        <item x="96"/>
        <item x="62"/>
        <item x="156"/>
        <item x="14"/>
        <item x="95"/>
        <item x="10"/>
        <item x="206"/>
        <item x="39"/>
        <item x="17"/>
        <item x="170"/>
        <item x="112"/>
        <item x="178"/>
        <item x="131"/>
        <item x="179"/>
        <item x="125"/>
        <item x="134"/>
        <item x="97"/>
        <item x="65"/>
        <item x="35"/>
        <item x="7"/>
        <item x="38"/>
        <item x="107"/>
        <item x="77"/>
        <item x="193"/>
        <item x="68"/>
        <item x="141"/>
        <item x="231"/>
        <item x="145"/>
        <item x="72"/>
        <item x="102"/>
        <item x="220"/>
        <item x="99"/>
        <item x="232"/>
        <item x="19"/>
        <item x="121"/>
        <item x="82"/>
        <item x="194"/>
        <item x="208"/>
        <item x="11"/>
        <item x="115"/>
        <item x="26"/>
        <item x="44"/>
        <item x="48"/>
        <item x="154"/>
        <item x="103"/>
        <item x="56"/>
        <item x="15"/>
        <item x="132"/>
        <item x="209"/>
        <item x="9"/>
        <item x="140"/>
        <item x="101"/>
        <item x="113"/>
        <item x="12"/>
        <item x="22"/>
        <item x="217"/>
        <item x="172"/>
        <item x="213"/>
        <item x="100"/>
        <item x="197"/>
        <item x="63"/>
        <item x="66"/>
        <item x="158"/>
        <item x="21"/>
        <item x="87"/>
        <item x="236"/>
        <item x="181"/>
        <item x="106"/>
        <item x="241"/>
        <item x="205"/>
        <item x="40"/>
        <item x="210"/>
        <item x="36"/>
        <item x="214"/>
        <item x="45"/>
        <item x="61"/>
        <item x="201"/>
        <item x="189"/>
        <item x="108"/>
        <item x="244"/>
        <item x="207"/>
        <item x="6"/>
        <item x="31"/>
        <item x="124"/>
        <item x="3"/>
        <item x="98"/>
        <item x="161"/>
        <item x="175"/>
        <item x="54"/>
        <item x="146"/>
        <item x="225"/>
        <item x="153"/>
        <item x="195"/>
        <item x="64"/>
        <item x="92"/>
        <item x="43"/>
        <item x="67"/>
        <item x="216"/>
        <item x="90"/>
        <item x="160"/>
        <item x="94"/>
        <item x="202"/>
        <item x="1"/>
        <item x="52"/>
        <item x="159"/>
        <item x="116"/>
        <item x="42"/>
        <item x="69"/>
        <item x="133"/>
        <item x="190"/>
        <item x="135"/>
        <item x="84"/>
        <item x="128"/>
        <item x="46"/>
        <item x="177"/>
        <item x="30"/>
        <item x="147"/>
        <item x="47"/>
        <item x="126"/>
        <item x="180"/>
        <item x="117"/>
        <item x="136"/>
        <item x="198"/>
        <item x="200"/>
        <item x="144"/>
        <item x="143"/>
        <item x="114"/>
        <item x="168"/>
        <item x="155"/>
        <item x="151"/>
        <item x="130"/>
        <item x="27"/>
        <item x="139"/>
        <item x="129"/>
        <item x="150"/>
        <item x="224"/>
        <item x="162"/>
        <item x="199"/>
        <item x="164"/>
        <item x="75"/>
        <item x="148"/>
        <item x="23"/>
        <item x="127"/>
        <item t="default"/>
      </items>
    </pivotField>
    <pivotField compact="0" showAll="0">
      <items count="149">
        <item x="53"/>
        <item x="67"/>
        <item x="101"/>
        <item x="84"/>
        <item x="98"/>
        <item x="51"/>
        <item x="104"/>
        <item x="108"/>
        <item x="144"/>
        <item x="110"/>
        <item x="37"/>
        <item x="34"/>
        <item x="76"/>
        <item x="137"/>
        <item x="18"/>
        <item x="7"/>
        <item x="31"/>
        <item x="125"/>
        <item x="138"/>
        <item x="63"/>
        <item x="30"/>
        <item x="118"/>
        <item x="95"/>
        <item x="13"/>
        <item x="133"/>
        <item x="11"/>
        <item x="70"/>
        <item x="85"/>
        <item x="93"/>
        <item x="94"/>
        <item x="35"/>
        <item x="103"/>
        <item x="146"/>
        <item x="52"/>
        <item x="117"/>
        <item x="109"/>
        <item x="115"/>
        <item x="59"/>
        <item x="22"/>
        <item x="139"/>
        <item x="114"/>
        <item x="91"/>
        <item x="44"/>
        <item x="9"/>
        <item x="88"/>
        <item x="36"/>
        <item x="135"/>
        <item x="26"/>
        <item x="46"/>
        <item x="73"/>
        <item x="99"/>
        <item x="5"/>
        <item x="77"/>
        <item x="55"/>
        <item x="21"/>
        <item x="78"/>
        <item x="49"/>
        <item x="2"/>
        <item x="64"/>
        <item x="47"/>
        <item x="113"/>
        <item x="68"/>
        <item x="147"/>
        <item x="28"/>
        <item x="54"/>
        <item x="8"/>
        <item x="86"/>
        <item x="62"/>
        <item x="123"/>
        <item x="127"/>
        <item x="141"/>
        <item x="32"/>
        <item x="145"/>
        <item x="12"/>
        <item x="58"/>
        <item x="120"/>
        <item x="56"/>
        <item x="100"/>
        <item x="60"/>
        <item x="97"/>
        <item x="41"/>
        <item x="72"/>
        <item x="14"/>
        <item x="1"/>
        <item x="96"/>
        <item x="43"/>
        <item x="122"/>
        <item x="65"/>
        <item x="79"/>
        <item x="40"/>
        <item x="92"/>
        <item x="48"/>
        <item x="19"/>
        <item x="130"/>
        <item x="39"/>
        <item x="136"/>
        <item x="105"/>
        <item x="87"/>
        <item x="81"/>
        <item x="20"/>
        <item x="142"/>
        <item x="128"/>
        <item x="10"/>
        <item x="42"/>
        <item x="38"/>
        <item x="69"/>
        <item x="126"/>
        <item x="90"/>
        <item x="25"/>
        <item x="111"/>
        <item x="116"/>
        <item x="106"/>
        <item x="6"/>
        <item x="134"/>
        <item x="50"/>
        <item x="107"/>
        <item x="74"/>
        <item x="23"/>
        <item x="82"/>
        <item x="129"/>
        <item x="143"/>
        <item x="121"/>
        <item x="89"/>
        <item x="17"/>
        <item x="29"/>
        <item x="61"/>
        <item x="57"/>
        <item x="80"/>
        <item x="66"/>
        <item x="75"/>
        <item x="3"/>
        <item x="140"/>
        <item x="71"/>
        <item x="112"/>
        <item x="83"/>
        <item x="45"/>
        <item x="102"/>
        <item x="131"/>
        <item x="124"/>
        <item x="24"/>
        <item x="119"/>
        <item x="16"/>
        <item x="27"/>
        <item x="15"/>
        <item x="132"/>
        <item x="33"/>
        <item x="4"/>
        <item x="0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90">
        <item x="86"/>
        <item x="84"/>
        <item x="77"/>
        <item x="38"/>
        <item x="70"/>
        <item x="58"/>
        <item x="6"/>
        <item x="25"/>
        <item x="9"/>
        <item x="31"/>
        <item x="83"/>
        <item x="26"/>
        <item x="18"/>
        <item x="52"/>
        <item x="73"/>
        <item x="32"/>
        <item x="51"/>
        <item x="75"/>
        <item x="8"/>
        <item x="48"/>
        <item x="16"/>
        <item x="36"/>
        <item x="34"/>
        <item x="24"/>
        <item x="19"/>
        <item x="11"/>
        <item x="64"/>
        <item x="23"/>
        <item x="0"/>
        <item x="41"/>
        <item x="69"/>
        <item x="42"/>
        <item x="82"/>
        <item x="37"/>
        <item x="2"/>
        <item x="7"/>
        <item x="17"/>
        <item x="30"/>
        <item x="28"/>
        <item x="4"/>
        <item x="39"/>
        <item x="85"/>
        <item x="14"/>
        <item x="35"/>
        <item x="50"/>
        <item x="40"/>
        <item x="15"/>
        <item x="87"/>
        <item x="3"/>
        <item x="62"/>
        <item x="53"/>
        <item x="46"/>
        <item x="1"/>
        <item x="12"/>
        <item x="20"/>
        <item x="56"/>
        <item x="66"/>
        <item x="22"/>
        <item x="71"/>
        <item x="57"/>
        <item x="33"/>
        <item x="63"/>
        <item x="43"/>
        <item x="47"/>
        <item x="76"/>
        <item x="27"/>
        <item x="61"/>
        <item x="54"/>
        <item x="67"/>
        <item x="78"/>
        <item x="5"/>
        <item x="13"/>
        <item x="55"/>
        <item x="60"/>
        <item x="79"/>
        <item x="10"/>
        <item x="44"/>
        <item x="72"/>
        <item x="59"/>
        <item x="65"/>
        <item x="68"/>
        <item x="74"/>
        <item x="29"/>
        <item x="21"/>
        <item x="81"/>
        <item x="49"/>
        <item x="45"/>
        <item x="88"/>
        <item x="80"/>
        <item t="default"/>
      </items>
    </pivotField>
  </pivotFields>
  <rowFields count="1">
    <field x="6"/>
  </rowFields>
  <rowItems count="2"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Passeng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11:D117" firstHeaderRow="1" firstDataRow="2" firstDataCol="1"/>
  <pivotFields count="13">
    <pivotField dataField="1" compact="0" showAll="0">
      <items count="8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892">
        <item x="845"/>
        <item x="746"/>
        <item x="279"/>
        <item x="308"/>
        <item x="874"/>
        <item x="365"/>
        <item x="401"/>
        <item x="40"/>
        <item x="855"/>
        <item x="207"/>
        <item x="810"/>
        <item x="840"/>
        <item x="210"/>
        <item x="784"/>
        <item x="730"/>
        <item x="4"/>
        <item x="305"/>
        <item x="297"/>
        <item x="498"/>
        <item x="834"/>
        <item x="192"/>
        <item x="460"/>
        <item x="850"/>
        <item x="813"/>
        <item x="119"/>
        <item x="68"/>
        <item x="541"/>
        <item x="542"/>
        <item x="13"/>
        <item x="146"/>
        <item x="610"/>
        <item x="91"/>
        <item x="144"/>
        <item x="275"/>
        <item x="806"/>
        <item x="518"/>
        <item x="571"/>
        <item x="353"/>
        <item x="49"/>
        <item x="493"/>
        <item x="363"/>
        <item x="182"/>
        <item x="261"/>
        <item x="233"/>
        <item x="25"/>
        <item x="700"/>
        <item x="114"/>
        <item x="244"/>
        <item x="369"/>
        <item x="833"/>
        <item x="780"/>
        <item x="206"/>
        <item x="85"/>
        <item x="644"/>
        <item x="469"/>
        <item x="448"/>
        <item x="858"/>
        <item x="661"/>
        <item x="757"/>
        <item x="870"/>
        <item x="327"/>
        <item x="883"/>
        <item x="762"/>
        <item x="702"/>
        <item x="362"/>
        <item x="290"/>
        <item x="630"/>
        <item x="112"/>
        <item x="150"/>
        <item x="168"/>
        <item x="118"/>
        <item x="299"/>
        <item x="218"/>
        <item x="543"/>
        <item x="546"/>
        <item x="372"/>
        <item x="183"/>
        <item x="618"/>
        <item x="248"/>
        <item x="871"/>
        <item x="21"/>
        <item x="889"/>
        <item x="162"/>
        <item x="225"/>
        <item x="733"/>
        <item x="378"/>
        <item x="380"/>
        <item x="74"/>
        <item x="408"/>
        <item x="484"/>
        <item x="291"/>
        <item x="269"/>
        <item x="430"/>
        <item x="339"/>
        <item x="209"/>
        <item x="11"/>
        <item x="628"/>
        <item x="852"/>
        <item x="598"/>
        <item x="140"/>
        <item x="593"/>
        <item x="188"/>
        <item x="657"/>
        <item x="624"/>
        <item x="356"/>
        <item x="221"/>
        <item x="507"/>
        <item x="477"/>
        <item x="0"/>
        <item x="766"/>
        <item x="614"/>
        <item x="345"/>
        <item x="684"/>
        <item x="194"/>
        <item x="670"/>
        <item x="728"/>
        <item x="143"/>
        <item x="337"/>
        <item x="387"/>
        <item x="666"/>
        <item x="536"/>
        <item x="149"/>
        <item x="865"/>
        <item x="534"/>
        <item x="471"/>
        <item x="270"/>
        <item x="707"/>
        <item x="78"/>
        <item x="323"/>
        <item x="163"/>
        <item x="500"/>
        <item x="211"/>
        <item x="466"/>
        <item x="501"/>
        <item x="37"/>
        <item x="578"/>
        <item x="191"/>
        <item x="679"/>
        <item x="756"/>
        <item x="872"/>
        <item x="208"/>
        <item x="83"/>
        <item x="802"/>
        <item x="435"/>
        <item x="390"/>
        <item x="854"/>
        <item x="763"/>
        <item x="249"/>
        <item x="741"/>
        <item x="89"/>
        <item x="92"/>
        <item x="724"/>
        <item x="809"/>
        <item x="695"/>
        <item x="594"/>
        <item x="421"/>
        <item x="257"/>
        <item x="166"/>
        <item x="838"/>
        <item x="90"/>
        <item x="580"/>
        <item x="73"/>
        <item x="426"/>
        <item x="708"/>
        <item x="475"/>
        <item x="131"/>
        <item x="204"/>
        <item x="663"/>
        <item x="514"/>
        <item x="242"/>
        <item x="342"/>
        <item x="662"/>
        <item x="237"/>
        <item x="637"/>
        <item x="801"/>
        <item x="835"/>
        <item x="749"/>
        <item x="289"/>
        <item x="116"/>
        <item x="668"/>
        <item x="646"/>
        <item x="157"/>
        <item x="489"/>
        <item x="348"/>
        <item x="94"/>
        <item x="67"/>
        <item x="160"/>
        <item x="745"/>
        <item x="540"/>
        <item x="844"/>
        <item x="1"/>
        <item x="413"/>
        <item x="338"/>
        <item x="882"/>
        <item x="687"/>
        <item x="510"/>
        <item x="857"/>
        <item x="616"/>
        <item x="423"/>
        <item x="607"/>
        <item x="321"/>
        <item x="794"/>
        <item x="671"/>
        <item x="549"/>
        <item x="565"/>
        <item x="385"/>
        <item x="635"/>
        <item x="347"/>
        <item x="559"/>
        <item x="286"/>
        <item x="282"/>
        <item x="788"/>
        <item x="93"/>
        <item x="361"/>
        <item x="335"/>
        <item x="320"/>
        <item x="44"/>
        <item x="690"/>
        <item x="781"/>
        <item x="349"/>
        <item x="445"/>
        <item x="568"/>
        <item x="651"/>
        <item x="98"/>
        <item x="890"/>
        <item x="283"/>
        <item x="544"/>
        <item x="79"/>
        <item x="582"/>
        <item x="130"/>
        <item x="416"/>
        <item x="280"/>
        <item x="556"/>
        <item x="599"/>
        <item x="866"/>
        <item x="675"/>
        <item x="658"/>
        <item x="764"/>
        <item x="129"/>
        <item x="773"/>
        <item x="532"/>
        <item x="352"/>
        <item x="592"/>
        <item x="777"/>
        <item x="26"/>
        <item x="716"/>
        <item x="496"/>
        <item x="228"/>
        <item x="525"/>
        <item x="527"/>
        <item x="53"/>
        <item x="688"/>
        <item x="306"/>
        <item x="428"/>
        <item x="825"/>
        <item x="572"/>
        <item x="643"/>
        <item x="436"/>
        <item x="147"/>
        <item x="86"/>
        <item x="736"/>
        <item x="452"/>
        <item x="341"/>
        <item x="88"/>
        <item x="27"/>
        <item x="438"/>
        <item x="344"/>
        <item x="309"/>
        <item x="660"/>
        <item x="334"/>
        <item x="539"/>
        <item x="587"/>
        <item x="481"/>
        <item x="815"/>
        <item x="357"/>
        <item x="137"/>
        <item x="3"/>
        <item x="20"/>
        <item x="405"/>
        <item x="703"/>
        <item x="760"/>
        <item x="576"/>
        <item x="791"/>
        <item x="619"/>
        <item x="462"/>
        <item x="420"/>
        <item x="139"/>
        <item x="861"/>
        <item x="588"/>
        <item x="864"/>
        <item x="722"/>
        <item x="156"/>
        <item x="213"/>
        <item x="32"/>
        <item x="453"/>
        <item x="849"/>
        <item x="96"/>
        <item x="165"/>
        <item x="548"/>
        <item x="328"/>
        <item x="465"/>
        <item x="480"/>
        <item x="386"/>
        <item x="59"/>
        <item x="71"/>
        <item x="683"/>
        <item x="678"/>
        <item x="887"/>
        <item x="332"/>
        <item x="268"/>
        <item x="222"/>
        <item x="714"/>
        <item x="97"/>
        <item x="769"/>
        <item x="789"/>
        <item x="876"/>
        <item x="104"/>
        <item x="392"/>
        <item x="379"/>
        <item x="293"/>
        <item x="451"/>
        <item x="490"/>
        <item x="403"/>
        <item x="142"/>
        <item x="178"/>
        <item x="755"/>
        <item x="247"/>
        <item x="441"/>
        <item x="296"/>
        <item x="860"/>
        <item x="704"/>
        <item x="623"/>
        <item x="370"/>
        <item x="235"/>
        <item x="785"/>
        <item x="720"/>
        <item x="645"/>
        <item x="52"/>
        <item x="848"/>
        <item x="602"/>
        <item x="570"/>
        <item x="62"/>
        <item x="219"/>
        <item x="230"/>
        <item x="263"/>
        <item x="535"/>
        <item x="314"/>
        <item x="411"/>
        <item x="440"/>
        <item x="681"/>
        <item x="731"/>
        <item x="740"/>
        <item x="310"/>
        <item x="820"/>
        <item x="274"/>
        <item x="804"/>
        <item x="654"/>
        <item x="2"/>
        <item x="816"/>
        <item x="313"/>
        <item x="264"/>
        <item x="615"/>
        <item x="754"/>
        <item x="15"/>
        <item x="655"/>
        <item x="665"/>
        <item x="120"/>
        <item x="329"/>
        <item x="523"/>
        <item x="479"/>
        <item x="529"/>
        <item x="774"/>
        <item x="723"/>
        <item x="765"/>
        <item x="236"/>
        <item x="818"/>
        <item x="35"/>
        <item x="383"/>
        <item x="604"/>
        <item x="216"/>
        <item x="72"/>
        <item x="613"/>
        <item x="288"/>
        <item x="224"/>
        <item x="793"/>
        <item x="486"/>
        <item x="699"/>
        <item x="239"/>
        <item x="798"/>
        <item x="61"/>
        <item x="84"/>
        <item x="729"/>
        <item x="177"/>
        <item x="738"/>
        <item x="217"/>
        <item x="600"/>
        <item x="455"/>
        <item x="391"/>
        <item x="611"/>
        <item x="586"/>
        <item x="70"/>
        <item x="640"/>
        <item x="771"/>
        <item x="721"/>
        <item x="368"/>
        <item x="473"/>
        <item x="444"/>
        <item x="202"/>
        <item x="395"/>
        <item x="103"/>
        <item x="805"/>
        <item x="869"/>
        <item x="172"/>
        <item x="597"/>
        <item x="719"/>
        <item x="302"/>
        <item x="8"/>
        <item x="888"/>
        <item x="783"/>
        <item x="753"/>
        <item x="569"/>
        <item x="113"/>
        <item x="402"/>
        <item x="579"/>
        <item x="433"/>
        <item x="652"/>
        <item x="99"/>
        <item x="316"/>
        <item x="606"/>
        <item x="478"/>
        <item x="691"/>
        <item x="524"/>
        <item x="303"/>
        <item x="790"/>
        <item x="470"/>
        <item x="300"/>
        <item x="573"/>
        <item x="696"/>
        <item x="706"/>
        <item x="487"/>
        <item x="457"/>
        <item x="214"/>
        <item x="778"/>
        <item x="621"/>
        <item x="69"/>
        <item x="184"/>
        <item x="626"/>
        <item x="711"/>
        <item x="175"/>
        <item x="732"/>
        <item x="42"/>
        <item x="439"/>
        <item x="522"/>
        <item x="312"/>
        <item x="503"/>
        <item x="878"/>
        <item x="692"/>
        <item x="826"/>
        <item x="376"/>
        <item x="509"/>
        <item x="43"/>
        <item x="685"/>
        <item x="608"/>
        <item x="713"/>
        <item x="231"/>
        <item x="796"/>
        <item x="553"/>
        <item x="176"/>
        <item x="409"/>
        <item x="485"/>
        <item x="229"/>
        <item x="389"/>
        <item x="636"/>
        <item x="596"/>
        <item x="843"/>
        <item x="516"/>
        <item x="46"/>
        <item x="179"/>
        <item x="537"/>
        <item x="811"/>
        <item x="737"/>
        <item x="292"/>
        <item x="295"/>
        <item x="234"/>
        <item x="770"/>
        <item x="246"/>
        <item x="276"/>
        <item x="605"/>
        <item x="664"/>
        <item x="853"/>
        <item x="169"/>
        <item x="253"/>
        <item x="617"/>
        <item x="782"/>
        <item x="627"/>
        <item x="432"/>
        <item x="227"/>
        <item x="821"/>
        <item x="631"/>
        <item x="195"/>
        <item x="772"/>
        <item x="198"/>
        <item x="689"/>
        <item x="127"/>
        <item x="243"/>
        <item x="504"/>
        <item x="464"/>
        <item x="827"/>
        <item x="817"/>
        <item x="36"/>
        <item x="767"/>
        <item x="727"/>
        <item x="839"/>
        <item x="847"/>
        <item x="881"/>
        <item x="748"/>
        <item x="19"/>
        <item x="418"/>
        <item x="710"/>
        <item x="6"/>
        <item x="828"/>
        <item x="330"/>
        <item x="301"/>
        <item x="82"/>
        <item x="718"/>
        <item x="512"/>
        <item x="358"/>
        <item x="22"/>
        <item x="397"/>
        <item x="126"/>
        <item x="743"/>
        <item x="564"/>
        <item x="415"/>
        <item x="446"/>
        <item x="272"/>
        <item x="226"/>
        <item x="152"/>
        <item x="196"/>
        <item x="808"/>
        <item x="34"/>
        <item x="375"/>
        <item x="456"/>
        <item x="463"/>
        <item x="245"/>
        <item x="412"/>
        <item x="294"/>
        <item x="105"/>
        <item x="672"/>
        <item x="650"/>
        <item x="359"/>
        <item x="75"/>
        <item x="492"/>
        <item x="886"/>
        <item x="751"/>
        <item x="823"/>
        <item x="121"/>
        <item x="109"/>
        <item x="768"/>
        <item x="5"/>
        <item x="317"/>
        <item x="705"/>
        <item x="461"/>
        <item x="560"/>
        <item x="107"/>
        <item x="65"/>
        <item x="709"/>
        <item x="367"/>
        <item x="77"/>
        <item x="841"/>
        <item x="697"/>
        <item x="589"/>
        <item x="241"/>
        <item x="612"/>
        <item x="775"/>
        <item x="287"/>
        <item x="875"/>
        <item x="381"/>
        <item x="622"/>
        <item x="739"/>
        <item x="122"/>
        <item x="9"/>
        <item x="273"/>
        <item x="340"/>
        <item x="193"/>
        <item x="148"/>
        <item x="223"/>
        <item x="215"/>
        <item x="393"/>
        <item x="659"/>
        <item x="136"/>
        <item x="145"/>
        <item x="545"/>
        <item x="125"/>
        <item x="39"/>
        <item x="315"/>
        <item x="761"/>
        <item x="400"/>
        <item x="562"/>
        <item x="51"/>
        <item x="57"/>
        <item x="66"/>
        <item x="141"/>
        <item x="326"/>
        <item x="364"/>
        <item x="552"/>
        <item x="186"/>
        <item x="629"/>
        <item x="459"/>
        <item x="350"/>
        <item x="47"/>
        <item x="28"/>
        <item x="554"/>
        <item x="653"/>
        <item x="508"/>
        <item x="197"/>
        <item x="154"/>
        <item x="396"/>
        <item x="281"/>
        <item x="682"/>
        <item x="404"/>
        <item x="725"/>
        <item x="138"/>
        <item x="797"/>
        <item x="54"/>
        <item x="502"/>
        <item x="795"/>
        <item x="547"/>
        <item x="398"/>
        <item x="7"/>
        <item x="374"/>
        <item x="24"/>
        <item x="567"/>
        <item x="164"/>
        <item x="50"/>
        <item x="824"/>
        <item x="266"/>
        <item x="686"/>
        <item x="638"/>
        <item x="277"/>
        <item x="633"/>
        <item x="259"/>
        <item x="331"/>
        <item x="836"/>
        <item x="575"/>
        <item x="584"/>
        <item x="519"/>
        <item x="336"/>
        <item x="151"/>
        <item x="454"/>
        <item x="115"/>
        <item x="505"/>
        <item x="307"/>
        <item x="238"/>
        <item x="212"/>
        <item x="181"/>
        <item x="520"/>
        <item x="267"/>
        <item x="128"/>
        <item x="533"/>
        <item x="680"/>
        <item x="100"/>
        <item x="877"/>
        <item x="101"/>
        <item x="442"/>
        <item x="807"/>
        <item x="449"/>
        <item x="427"/>
        <item x="429"/>
        <item x="190"/>
        <item x="384"/>
        <item x="800"/>
        <item x="110"/>
        <item x="879"/>
        <item x="530"/>
        <item x="506"/>
        <item x="656"/>
        <item x="859"/>
        <item x="250"/>
        <item x="265"/>
        <item x="108"/>
        <item x="476"/>
        <item x="726"/>
        <item x="822"/>
        <item x="443"/>
        <item x="171"/>
        <item x="278"/>
        <item x="16"/>
        <item x="787"/>
        <item x="885"/>
        <item x="135"/>
        <item x="831"/>
        <item x="407"/>
        <item x="437"/>
        <item x="526"/>
        <item x="373"/>
        <item x="590"/>
        <item x="538"/>
        <item x="557"/>
        <item x="779"/>
        <item x="132"/>
        <item x="867"/>
        <item x="45"/>
        <item x="187"/>
        <item x="667"/>
        <item x="185"/>
        <item x="424"/>
        <item x="254"/>
        <item x="583"/>
        <item x="759"/>
        <item x="513"/>
        <item x="482"/>
        <item x="56"/>
        <item x="574"/>
        <item x="517"/>
        <item x="311"/>
        <item x="742"/>
        <item x="832"/>
        <item x="693"/>
        <item x="298"/>
        <item x="388"/>
        <item x="159"/>
        <item x="180"/>
        <item x="863"/>
        <item x="792"/>
        <item x="846"/>
        <item x="201"/>
        <item x="324"/>
        <item x="641"/>
        <item x="106"/>
        <item x="528"/>
        <item x="48"/>
        <item x="10"/>
        <item x="394"/>
        <item x="12"/>
        <item x="676"/>
        <item x="468"/>
        <item x="410"/>
        <item x="343"/>
        <item x="842"/>
        <item x="447"/>
        <item x="551"/>
        <item x="81"/>
        <item x="497"/>
        <item x="880"/>
        <item x="95"/>
        <item x="609"/>
        <item x="417"/>
        <item x="701"/>
        <item x="434"/>
        <item x="577"/>
        <item x="563"/>
        <item x="647"/>
        <item x="747"/>
        <item x="60"/>
        <item x="837"/>
        <item x="561"/>
        <item x="173"/>
        <item x="786"/>
        <item x="232"/>
        <item x="63"/>
        <item x="819"/>
        <item x="634"/>
        <item x="642"/>
        <item x="360"/>
        <item x="167"/>
        <item x="601"/>
        <item x="322"/>
        <item x="812"/>
        <item x="87"/>
        <item x="23"/>
        <item x="467"/>
        <item x="158"/>
        <item x="346"/>
        <item x="174"/>
        <item x="284"/>
        <item x="260"/>
        <item x="134"/>
        <item x="715"/>
        <item x="488"/>
        <item x="319"/>
        <item x="31"/>
        <item x="632"/>
        <item x="76"/>
        <item x="285"/>
        <item x="649"/>
        <item x="494"/>
        <item x="252"/>
        <item x="591"/>
        <item x="64"/>
        <item x="829"/>
        <item x="566"/>
        <item x="474"/>
        <item x="744"/>
        <item x="205"/>
        <item x="251"/>
        <item x="220"/>
        <item x="414"/>
        <item x="884"/>
        <item x="625"/>
        <item x="851"/>
        <item x="499"/>
        <item x="862"/>
        <item x="585"/>
        <item x="262"/>
        <item x="558"/>
        <item x="712"/>
        <item x="669"/>
        <item x="698"/>
        <item x="550"/>
        <item x="581"/>
        <item x="758"/>
        <item x="803"/>
        <item x="256"/>
        <item x="639"/>
        <item x="431"/>
        <item x="382"/>
        <item x="776"/>
        <item x="29"/>
        <item x="814"/>
        <item x="458"/>
        <item x="603"/>
        <item x="271"/>
        <item x="531"/>
        <item x="255"/>
        <item x="734"/>
        <item x="399"/>
        <item x="717"/>
        <item x="189"/>
        <item x="677"/>
        <item x="483"/>
        <item x="117"/>
        <item x="41"/>
        <item x="30"/>
        <item x="153"/>
        <item x="170"/>
        <item x="419"/>
        <item x="595"/>
        <item x="799"/>
        <item x="868"/>
        <item x="752"/>
        <item x="200"/>
        <item x="355"/>
        <item x="873"/>
        <item x="38"/>
        <item x="333"/>
        <item x="18"/>
        <item x="14"/>
        <item x="521"/>
        <item x="80"/>
        <item x="515"/>
        <item x="258"/>
        <item x="366"/>
        <item x="674"/>
        <item x="161"/>
        <item x="123"/>
        <item x="511"/>
        <item x="694"/>
        <item x="133"/>
        <item x="750"/>
        <item x="58"/>
        <item x="450"/>
        <item x="472"/>
        <item x="33"/>
        <item x="124"/>
        <item x="102"/>
        <item x="318"/>
        <item x="856"/>
        <item x="406"/>
        <item x="377"/>
        <item x="371"/>
        <item x="673"/>
        <item x="648"/>
        <item x="155"/>
        <item x="17"/>
        <item x="304"/>
        <item x="735"/>
        <item x="351"/>
        <item x="491"/>
        <item x="425"/>
        <item x="55"/>
        <item x="555"/>
        <item x="620"/>
        <item x="830"/>
        <item x="325"/>
        <item x="203"/>
        <item x="354"/>
        <item x="495"/>
        <item x="199"/>
        <item x="111"/>
        <item x="240"/>
        <item x="422"/>
        <item t="default"/>
      </items>
    </pivotField>
    <pivotField axis="axisCol" compact="0" showAll="0">
      <items count="3">
        <item x="1"/>
        <item x="0"/>
        <item t="default"/>
      </items>
    </pivotField>
    <pivotField compact="0" showAll="0">
      <items count="90">
        <item x="86"/>
        <item x="84"/>
        <item x="77"/>
        <item x="38"/>
        <item x="70"/>
        <item x="58"/>
        <item x="6"/>
        <item x="25"/>
        <item x="9"/>
        <item x="31"/>
        <item x="83"/>
        <item x="26"/>
        <item x="18"/>
        <item x="52"/>
        <item x="73"/>
        <item x="32"/>
        <item x="51"/>
        <item x="75"/>
        <item x="8"/>
        <item x="48"/>
        <item x="16"/>
        <item x="36"/>
        <item x="34"/>
        <item x="24"/>
        <item x="19"/>
        <item x="11"/>
        <item x="64"/>
        <item x="23"/>
        <item x="0"/>
        <item x="41"/>
        <item x="69"/>
        <item x="42"/>
        <item x="82"/>
        <item x="37"/>
        <item x="2"/>
        <item x="7"/>
        <item x="17"/>
        <item x="30"/>
        <item x="28"/>
        <item x="39"/>
        <item x="85"/>
        <item x="14"/>
        <item x="35"/>
        <item x="50"/>
        <item x="40"/>
        <item x="15"/>
        <item x="87"/>
        <item x="3"/>
        <item x="62"/>
        <item x="53"/>
        <item x="46"/>
        <item x="1"/>
        <item x="12"/>
        <item x="20"/>
        <item x="56"/>
        <item x="66"/>
        <item x="22"/>
        <item x="71"/>
        <item x="57"/>
        <item x="33"/>
        <item x="63"/>
        <item x="43"/>
        <item x="47"/>
        <item x="76"/>
        <item x="27"/>
        <item x="61"/>
        <item x="54"/>
        <item x="67"/>
        <item x="78"/>
        <item x="5"/>
        <item x="13"/>
        <item x="55"/>
        <item x="60"/>
        <item x="79"/>
        <item x="10"/>
        <item x="44"/>
        <item x="72"/>
        <item x="59"/>
        <item x="65"/>
        <item x="68"/>
        <item x="74"/>
        <item x="29"/>
        <item x="21"/>
        <item x="81"/>
        <item x="49"/>
        <item x="45"/>
        <item x="88"/>
        <item x="80"/>
        <item x="4"/>
        <item t="default"/>
      </items>
    </pivotField>
    <pivotField compact="0" showAll="0">
      <items count="8">
        <item x="1"/>
        <item x="0"/>
        <item x="4"/>
        <item x="2"/>
        <item x="3"/>
        <item x="5"/>
        <item x="6"/>
        <item t="default"/>
      </items>
    </pivotField>
    <pivotField compact="0" showAll="0">
      <items count="8">
        <item x="0"/>
        <item x="1"/>
        <item x="2"/>
        <item x="4"/>
        <item x="5"/>
        <item x="3"/>
        <item x="6"/>
        <item t="default"/>
      </items>
    </pivotField>
    <pivotField compact="0" showAll="0">
      <items count="682">
        <item x="453"/>
        <item x="668"/>
        <item x="72"/>
        <item x="363"/>
        <item x="644"/>
        <item x="457"/>
        <item x="530"/>
        <item x="437"/>
        <item x="625"/>
        <item x="317"/>
        <item x="111"/>
        <item x="182"/>
        <item x="658"/>
        <item x="25"/>
        <item x="444"/>
        <item x="307"/>
        <item x="325"/>
        <item x="19"/>
        <item x="228"/>
        <item x="38"/>
        <item x="328"/>
        <item x="505"/>
        <item x="64"/>
        <item x="47"/>
        <item x="599"/>
        <item x="492"/>
        <item x="108"/>
        <item x="379"/>
        <item x="670"/>
        <item x="119"/>
        <item x="59"/>
        <item x="642"/>
        <item x="553"/>
        <item x="607"/>
        <item x="35"/>
        <item x="130"/>
        <item x="71"/>
        <item x="650"/>
        <item x="624"/>
        <item x="469"/>
        <item x="612"/>
        <item x="478"/>
        <item x="445"/>
        <item x="313"/>
        <item x="265"/>
        <item x="218"/>
        <item x="306"/>
        <item x="56"/>
        <item x="185"/>
        <item x="438"/>
        <item x="452"/>
        <item x="52"/>
        <item x="482"/>
        <item x="403"/>
        <item x="631"/>
        <item x="160"/>
        <item x="408"/>
        <item x="422"/>
        <item x="110"/>
        <item x="344"/>
        <item x="545"/>
        <item x="177"/>
        <item x="531"/>
        <item x="547"/>
        <item x="304"/>
        <item x="128"/>
        <item x="100"/>
        <item x="566"/>
        <item x="39"/>
        <item x="674"/>
        <item x="401"/>
        <item x="294"/>
        <item x="603"/>
        <item x="525"/>
        <item x="268"/>
        <item x="40"/>
        <item x="222"/>
        <item x="127"/>
        <item x="506"/>
        <item x="460"/>
        <item x="320"/>
        <item x="276"/>
        <item x="472"/>
        <item x="409"/>
        <item x="648"/>
        <item x="196"/>
        <item x="260"/>
        <item x="573"/>
        <item x="618"/>
        <item x="435"/>
        <item x="481"/>
        <item x="521"/>
        <item x="515"/>
        <item x="245"/>
        <item x="371"/>
        <item x="386"/>
        <item x="484"/>
        <item x="450"/>
        <item x="46"/>
        <item x="474"/>
        <item x="318"/>
        <item x="485"/>
        <item x="284"/>
        <item x="585"/>
        <item x="272"/>
        <item x="383"/>
        <item x="6"/>
        <item x="387"/>
        <item x="622"/>
        <item x="661"/>
        <item x="551"/>
        <item x="158"/>
        <item x="259"/>
        <item x="219"/>
        <item x="202"/>
        <item x="54"/>
        <item x="26"/>
        <item x="390"/>
        <item x="639"/>
        <item x="267"/>
        <item x="537"/>
        <item x="200"/>
        <item x="550"/>
        <item x="423"/>
        <item x="211"/>
        <item x="513"/>
        <item x="116"/>
        <item x="331"/>
        <item x="660"/>
        <item x="632"/>
        <item x="621"/>
        <item x="354"/>
        <item x="356"/>
        <item x="339"/>
        <item x="173"/>
        <item x="581"/>
        <item x="289"/>
        <item x="346"/>
        <item x="213"/>
        <item x="282"/>
        <item x="591"/>
        <item x="443"/>
        <item x="608"/>
        <item x="348"/>
        <item x="596"/>
        <item x="538"/>
        <item x="529"/>
        <item x="402"/>
        <item x="504"/>
        <item x="300"/>
        <item x="377"/>
        <item x="569"/>
        <item x="193"/>
        <item x="99"/>
        <item x="145"/>
        <item x="557"/>
        <item x="397"/>
        <item x="570"/>
        <item x="560"/>
        <item x="611"/>
        <item x="577"/>
        <item x="283"/>
        <item x="416"/>
        <item x="509"/>
        <item x="431"/>
        <item x="61"/>
        <item x="508"/>
        <item x="381"/>
        <item x="411"/>
        <item x="376"/>
        <item x="230"/>
        <item x="234"/>
        <item x="107"/>
        <item x="367"/>
        <item x="316"/>
        <item x="156"/>
        <item x="392"/>
        <item x="290"/>
        <item x="679"/>
        <item x="496"/>
        <item x="424"/>
        <item x="169"/>
        <item x="628"/>
        <item x="516"/>
        <item x="678"/>
        <item x="634"/>
        <item x="235"/>
        <item x="187"/>
        <item x="601"/>
        <item x="565"/>
        <item x="291"/>
        <item x="447"/>
        <item x="382"/>
        <item x="657"/>
        <item x="253"/>
        <item x="81"/>
        <item x="613"/>
        <item x="324"/>
        <item x="154"/>
        <item x="53"/>
        <item x="305"/>
        <item x="225"/>
        <item x="60"/>
        <item x="334"/>
        <item x="167"/>
        <item x="589"/>
        <item x="140"/>
        <item x="266"/>
        <item x="11"/>
        <item x="295"/>
        <item x="380"/>
        <item x="413"/>
        <item x="23"/>
        <item x="34"/>
        <item x="396"/>
        <item x="378"/>
        <item x="494"/>
        <item x="241"/>
        <item x="554"/>
        <item x="3"/>
        <item x="499"/>
        <item x="575"/>
        <item x="459"/>
        <item x="677"/>
        <item x="464"/>
        <item x="510"/>
        <item x="199"/>
        <item x="503"/>
        <item x="562"/>
        <item x="270"/>
        <item x="433"/>
        <item x="124"/>
        <item x="298"/>
        <item x="137"/>
        <item x="165"/>
        <item x="232"/>
        <item x="375"/>
        <item x="95"/>
        <item x="134"/>
        <item x="582"/>
        <item x="662"/>
        <item x="393"/>
        <item x="172"/>
        <item x="534"/>
        <item x="287"/>
        <item x="206"/>
        <item x="663"/>
        <item x="578"/>
        <item x="208"/>
        <item x="483"/>
        <item x="517"/>
        <item x="309"/>
        <item x="9"/>
        <item x="480"/>
        <item x="257"/>
        <item x="247"/>
        <item x="406"/>
        <item x="580"/>
        <item x="542"/>
        <item x="20"/>
        <item x="341"/>
        <item x="195"/>
        <item x="477"/>
        <item x="223"/>
        <item x="541"/>
        <item x="340"/>
        <item x="138"/>
        <item x="455"/>
        <item x="297"/>
        <item x="96"/>
        <item x="17"/>
        <item x="21"/>
        <item x="15"/>
        <item x="630"/>
        <item x="491"/>
        <item x="555"/>
        <item x="299"/>
        <item x="76"/>
        <item x="296"/>
        <item x="179"/>
        <item x="574"/>
        <item x="242"/>
        <item x="191"/>
        <item x="567"/>
        <item x="588"/>
        <item x="221"/>
        <item x="278"/>
        <item x="355"/>
        <item x="162"/>
        <item x="364"/>
        <item x="104"/>
        <item x="349"/>
        <item x="535"/>
        <item x="147"/>
        <item x="360"/>
        <item x="446"/>
        <item x="419"/>
        <item x="303"/>
        <item x="399"/>
        <item x="651"/>
        <item x="152"/>
        <item x="576"/>
        <item x="345"/>
        <item x="646"/>
        <item x="638"/>
        <item x="68"/>
        <item x="166"/>
        <item x="398"/>
        <item x="322"/>
        <item x="109"/>
        <item x="5"/>
        <item x="421"/>
        <item x="526"/>
        <item x="22"/>
        <item x="310"/>
        <item x="80"/>
        <item x="546"/>
        <item x="43"/>
        <item x="27"/>
        <item x="456"/>
        <item x="311"/>
        <item x="512"/>
        <item x="590"/>
        <item x="31"/>
        <item x="249"/>
        <item x="343"/>
        <item x="544"/>
        <item x="353"/>
        <item x="103"/>
        <item x="86"/>
        <item x="87"/>
        <item x="288"/>
        <item x="461"/>
        <item x="18"/>
        <item x="37"/>
        <item x="669"/>
        <item x="78"/>
        <item x="373"/>
        <item x="180"/>
        <item x="357"/>
        <item x="255"/>
        <item x="666"/>
        <item x="251"/>
        <item x="79"/>
        <item x="593"/>
        <item x="604"/>
        <item x="308"/>
        <item x="184"/>
        <item x="654"/>
        <item x="120"/>
        <item x="571"/>
        <item x="627"/>
        <item x="347"/>
        <item x="207"/>
        <item x="151"/>
        <item x="326"/>
        <item x="220"/>
        <item x="246"/>
        <item x="600"/>
        <item x="374"/>
        <item x="24"/>
        <item x="609"/>
        <item x="361"/>
        <item x="131"/>
        <item x="13"/>
        <item x="238"/>
        <item x="458"/>
        <item x="629"/>
        <item x="62"/>
        <item x="626"/>
        <item x="250"/>
        <item x="88"/>
        <item x="643"/>
        <item x="281"/>
        <item x="8"/>
        <item x="514"/>
        <item x="558"/>
        <item x="73"/>
        <item x="568"/>
        <item x="583"/>
        <item x="620"/>
        <item x="594"/>
        <item x="468"/>
        <item x="256"/>
        <item x="102"/>
        <item x="74"/>
        <item x="430"/>
        <item x="532"/>
        <item x="671"/>
        <item x="653"/>
        <item x="493"/>
        <item x="98"/>
        <item x="28"/>
        <item x="672"/>
        <item x="584"/>
        <item x="286"/>
        <item x="524"/>
        <item x="350"/>
        <item x="528"/>
        <item x="511"/>
        <item x="293"/>
        <item x="330"/>
        <item x="548"/>
        <item x="520"/>
        <item x="263"/>
        <item x="201"/>
        <item x="262"/>
        <item x="48"/>
        <item x="254"/>
        <item x="385"/>
        <item x="121"/>
        <item x="434"/>
        <item x="279"/>
        <item x="623"/>
        <item x="97"/>
        <item x="498"/>
        <item x="171"/>
        <item x="667"/>
        <item x="105"/>
        <item x="463"/>
        <item x="436"/>
        <item x="41"/>
        <item x="358"/>
        <item x="552"/>
        <item x="673"/>
        <item x="7"/>
        <item x="497"/>
        <item x="543"/>
        <item x="561"/>
        <item x="659"/>
        <item x="507"/>
        <item x="335"/>
        <item x="418"/>
        <item x="549"/>
        <item x="595"/>
        <item x="136"/>
        <item x="174"/>
        <item x="605"/>
        <item x="572"/>
        <item x="519"/>
        <item x="337"/>
        <item x="404"/>
        <item x="159"/>
        <item x="14"/>
        <item x="338"/>
        <item x="470"/>
        <item x="476"/>
        <item x="224"/>
        <item x="153"/>
        <item x="597"/>
        <item x="556"/>
        <item x="449"/>
        <item x="633"/>
        <item x="91"/>
        <item x="391"/>
        <item x="495"/>
        <item x="502"/>
        <item x="77"/>
        <item x="420"/>
        <item x="489"/>
        <item x="170"/>
        <item x="602"/>
        <item x="365"/>
        <item x="133"/>
        <item x="527"/>
        <item x="269"/>
        <item x="641"/>
        <item x="192"/>
        <item x="215"/>
        <item x="186"/>
        <item x="439"/>
        <item x="332"/>
        <item x="640"/>
        <item x="176"/>
        <item x="227"/>
        <item x="168"/>
        <item x="113"/>
        <item x="178"/>
        <item x="45"/>
        <item x="117"/>
        <item x="258"/>
        <item x="244"/>
        <item x="680"/>
        <item x="501"/>
        <item x="389"/>
        <item x="106"/>
        <item x="149"/>
        <item x="462"/>
        <item x="4"/>
        <item x="75"/>
        <item x="616"/>
        <item x="92"/>
        <item x="368"/>
        <item x="586"/>
        <item x="236"/>
        <item x="426"/>
        <item x="16"/>
        <item x="610"/>
        <item x="233"/>
        <item x="301"/>
        <item x="656"/>
        <item x="647"/>
        <item x="592"/>
        <item x="351"/>
        <item x="181"/>
        <item x="617"/>
        <item x="321"/>
        <item x="101"/>
        <item x="336"/>
        <item x="83"/>
        <item x="67"/>
        <item x="49"/>
        <item x="442"/>
        <item x="405"/>
        <item x="36"/>
        <item x="486"/>
        <item x="141"/>
        <item x="410"/>
        <item x="415"/>
        <item x="467"/>
        <item x="475"/>
        <item x="362"/>
        <item x="50"/>
        <item x="0"/>
        <item x="285"/>
        <item x="205"/>
        <item x="190"/>
        <item x="271"/>
        <item x="384"/>
        <item x="536"/>
        <item x="183"/>
        <item x="407"/>
        <item x="488"/>
        <item x="252"/>
        <item x="359"/>
        <item x="12"/>
        <item x="226"/>
        <item x="123"/>
        <item x="142"/>
        <item x="394"/>
        <item x="115"/>
        <item x="118"/>
        <item x="425"/>
        <item x="637"/>
        <item x="315"/>
        <item x="323"/>
        <item x="237"/>
        <item x="372"/>
        <item x="90"/>
        <item x="32"/>
        <item x="540"/>
        <item x="248"/>
        <item x="125"/>
        <item x="65"/>
        <item x="209"/>
        <item x="55"/>
        <item x="212"/>
        <item x="69"/>
        <item x="135"/>
        <item x="150"/>
        <item x="432"/>
        <item x="57"/>
        <item x="302"/>
        <item x="652"/>
        <item x="417"/>
        <item x="675"/>
        <item x="58"/>
        <item x="523"/>
        <item x="148"/>
        <item x="539"/>
        <item x="189"/>
        <item x="280"/>
        <item x="388"/>
        <item x="143"/>
        <item x="163"/>
        <item x="274"/>
        <item x="155"/>
        <item x="428"/>
        <item x="473"/>
        <item x="559"/>
        <item x="563"/>
        <item x="319"/>
        <item x="564"/>
        <item x="441"/>
        <item x="275"/>
        <item x="114"/>
        <item x="30"/>
        <item x="51"/>
        <item x="239"/>
        <item x="229"/>
        <item x="665"/>
        <item x="655"/>
        <item x="129"/>
        <item x="161"/>
        <item x="243"/>
        <item x="144"/>
        <item x="1"/>
        <item x="619"/>
        <item x="29"/>
        <item x="429"/>
        <item x="33"/>
        <item x="63"/>
        <item x="277"/>
        <item x="414"/>
        <item x="175"/>
        <item x="292"/>
        <item x="264"/>
        <item x="93"/>
        <item x="231"/>
        <item x="645"/>
        <item x="327"/>
        <item x="273"/>
        <item x="94"/>
        <item x="240"/>
        <item x="448"/>
        <item x="203"/>
        <item x="10"/>
        <item x="44"/>
        <item x="636"/>
        <item x="606"/>
        <item x="522"/>
        <item x="70"/>
        <item x="139"/>
        <item x="66"/>
        <item x="471"/>
        <item x="333"/>
        <item x="490"/>
        <item x="369"/>
        <item x="400"/>
        <item x="42"/>
        <item x="164"/>
        <item x="126"/>
        <item x="454"/>
        <item x="664"/>
        <item x="261"/>
        <item x="312"/>
        <item x="214"/>
        <item x="82"/>
        <item x="500"/>
        <item x="395"/>
        <item x="122"/>
        <item x="314"/>
        <item x="188"/>
        <item x="615"/>
        <item x="366"/>
        <item x="466"/>
        <item x="598"/>
        <item x="649"/>
        <item x="427"/>
        <item x="412"/>
        <item x="676"/>
        <item x="465"/>
        <item x="85"/>
        <item x="198"/>
        <item x="146"/>
        <item x="352"/>
        <item x="487"/>
        <item x="370"/>
        <item x="217"/>
        <item x="157"/>
        <item x="533"/>
        <item x="479"/>
        <item x="587"/>
        <item x="342"/>
        <item x="518"/>
        <item x="329"/>
        <item x="112"/>
        <item x="579"/>
        <item x="132"/>
        <item x="2"/>
        <item x="194"/>
        <item x="635"/>
        <item x="204"/>
        <item x="440"/>
        <item x="216"/>
        <item x="614"/>
        <item x="84"/>
        <item x="210"/>
        <item x="89"/>
        <item x="197"/>
        <item x="451"/>
        <item t="default"/>
      </items>
    </pivotField>
    <pivotField compact="0" showAll="0">
      <items count="249">
        <item x="104"/>
        <item x="163"/>
        <item x="245"/>
        <item x="152"/>
        <item x="240"/>
        <item x="237"/>
        <item x="110"/>
        <item x="85"/>
        <item x="171"/>
        <item x="238"/>
        <item x="78"/>
        <item x="185"/>
        <item x="79"/>
        <item x="218"/>
        <item x="123"/>
        <item x="76"/>
        <item x="18"/>
        <item x="32"/>
        <item x="0"/>
        <item x="91"/>
        <item x="196"/>
        <item x="186"/>
        <item x="120"/>
        <item x="192"/>
        <item x="55"/>
        <item x="182"/>
        <item x="166"/>
        <item x="93"/>
        <item x="229"/>
        <item x="227"/>
        <item x="28"/>
        <item x="71"/>
        <item x="60"/>
        <item x="88"/>
        <item x="41"/>
        <item x="204"/>
        <item x="13"/>
        <item x="173"/>
        <item x="24"/>
        <item x="235"/>
        <item x="25"/>
        <item x="2"/>
        <item x="20"/>
        <item x="4"/>
        <item x="176"/>
        <item x="222"/>
        <item x="50"/>
        <item x="239"/>
        <item x="230"/>
        <item x="109"/>
        <item x="219"/>
        <item x="5"/>
        <item x="234"/>
        <item x="70"/>
        <item x="51"/>
        <item x="233"/>
        <item x="211"/>
        <item x="138"/>
        <item x="58"/>
        <item x="83"/>
        <item x="157"/>
        <item x="118"/>
        <item x="34"/>
        <item x="228"/>
        <item x="59"/>
        <item x="188"/>
        <item x="73"/>
        <item x="184"/>
        <item x="221"/>
        <item x="246"/>
        <item x="223"/>
        <item x="111"/>
        <item x="29"/>
        <item x="247"/>
        <item x="8"/>
        <item x="33"/>
        <item x="86"/>
        <item x="167"/>
        <item x="122"/>
        <item x="187"/>
        <item x="142"/>
        <item x="57"/>
        <item x="89"/>
        <item x="169"/>
        <item x="137"/>
        <item x="16"/>
        <item x="226"/>
        <item x="119"/>
        <item x="183"/>
        <item x="243"/>
        <item x="203"/>
        <item x="149"/>
        <item x="242"/>
        <item x="174"/>
        <item x="53"/>
        <item x="74"/>
        <item x="80"/>
        <item x="212"/>
        <item x="81"/>
        <item x="105"/>
        <item x="191"/>
        <item x="49"/>
        <item x="37"/>
        <item x="215"/>
        <item x="165"/>
        <item x="96"/>
        <item x="62"/>
        <item x="156"/>
        <item x="14"/>
        <item x="95"/>
        <item x="10"/>
        <item x="206"/>
        <item x="39"/>
        <item x="17"/>
        <item x="170"/>
        <item x="112"/>
        <item x="178"/>
        <item x="131"/>
        <item x="179"/>
        <item x="125"/>
        <item x="134"/>
        <item x="97"/>
        <item x="65"/>
        <item x="35"/>
        <item x="7"/>
        <item x="38"/>
        <item x="107"/>
        <item x="77"/>
        <item x="193"/>
        <item x="68"/>
        <item x="141"/>
        <item x="231"/>
        <item x="145"/>
        <item x="72"/>
        <item x="102"/>
        <item x="220"/>
        <item x="99"/>
        <item x="232"/>
        <item x="19"/>
        <item x="121"/>
        <item x="82"/>
        <item x="194"/>
        <item x="208"/>
        <item x="11"/>
        <item x="115"/>
        <item x="26"/>
        <item x="44"/>
        <item x="48"/>
        <item x="154"/>
        <item x="103"/>
        <item x="56"/>
        <item x="15"/>
        <item x="132"/>
        <item x="209"/>
        <item x="9"/>
        <item x="140"/>
        <item x="101"/>
        <item x="113"/>
        <item x="12"/>
        <item x="22"/>
        <item x="217"/>
        <item x="172"/>
        <item x="213"/>
        <item x="100"/>
        <item x="197"/>
        <item x="63"/>
        <item x="66"/>
        <item x="158"/>
        <item x="21"/>
        <item x="87"/>
        <item x="236"/>
        <item x="181"/>
        <item x="106"/>
        <item x="241"/>
        <item x="205"/>
        <item x="40"/>
        <item x="210"/>
        <item x="36"/>
        <item x="214"/>
        <item x="45"/>
        <item x="61"/>
        <item x="201"/>
        <item x="189"/>
        <item x="108"/>
        <item x="244"/>
        <item x="207"/>
        <item x="6"/>
        <item x="31"/>
        <item x="124"/>
        <item x="3"/>
        <item x="98"/>
        <item x="161"/>
        <item x="175"/>
        <item x="54"/>
        <item x="146"/>
        <item x="225"/>
        <item x="153"/>
        <item x="195"/>
        <item x="64"/>
        <item x="92"/>
        <item x="43"/>
        <item x="67"/>
        <item x="216"/>
        <item x="90"/>
        <item x="160"/>
        <item x="94"/>
        <item x="202"/>
        <item x="1"/>
        <item x="52"/>
        <item x="159"/>
        <item x="116"/>
        <item x="42"/>
        <item x="69"/>
        <item x="133"/>
        <item x="190"/>
        <item x="135"/>
        <item x="84"/>
        <item x="128"/>
        <item x="46"/>
        <item x="177"/>
        <item x="30"/>
        <item x="147"/>
        <item x="47"/>
        <item x="126"/>
        <item x="180"/>
        <item x="117"/>
        <item x="136"/>
        <item x="198"/>
        <item x="200"/>
        <item x="144"/>
        <item x="143"/>
        <item x="114"/>
        <item x="168"/>
        <item x="155"/>
        <item x="151"/>
        <item x="130"/>
        <item x="27"/>
        <item x="139"/>
        <item x="129"/>
        <item x="150"/>
        <item x="224"/>
        <item x="162"/>
        <item x="199"/>
        <item x="164"/>
        <item x="75"/>
        <item x="148"/>
        <item x="23"/>
        <item x="127"/>
        <item t="default"/>
      </items>
    </pivotField>
    <pivotField compact="0" showAll="0">
      <items count="149">
        <item x="53"/>
        <item x="67"/>
        <item x="101"/>
        <item x="84"/>
        <item x="98"/>
        <item x="51"/>
        <item x="104"/>
        <item x="108"/>
        <item x="144"/>
        <item x="110"/>
        <item x="37"/>
        <item x="34"/>
        <item x="76"/>
        <item x="137"/>
        <item x="18"/>
        <item x="7"/>
        <item x="31"/>
        <item x="125"/>
        <item x="138"/>
        <item x="63"/>
        <item x="30"/>
        <item x="118"/>
        <item x="95"/>
        <item x="13"/>
        <item x="133"/>
        <item x="11"/>
        <item x="70"/>
        <item x="85"/>
        <item x="93"/>
        <item x="94"/>
        <item x="35"/>
        <item x="103"/>
        <item x="146"/>
        <item x="52"/>
        <item x="117"/>
        <item x="109"/>
        <item x="115"/>
        <item x="59"/>
        <item x="22"/>
        <item x="139"/>
        <item x="114"/>
        <item x="91"/>
        <item x="44"/>
        <item x="9"/>
        <item x="88"/>
        <item x="36"/>
        <item x="135"/>
        <item x="26"/>
        <item x="46"/>
        <item x="73"/>
        <item x="99"/>
        <item x="5"/>
        <item x="77"/>
        <item x="55"/>
        <item x="21"/>
        <item x="78"/>
        <item x="49"/>
        <item x="2"/>
        <item x="64"/>
        <item x="47"/>
        <item x="113"/>
        <item x="68"/>
        <item x="147"/>
        <item x="28"/>
        <item x="54"/>
        <item x="8"/>
        <item x="86"/>
        <item x="62"/>
        <item x="123"/>
        <item x="127"/>
        <item x="141"/>
        <item x="32"/>
        <item x="145"/>
        <item x="12"/>
        <item x="58"/>
        <item x="120"/>
        <item x="56"/>
        <item x="100"/>
        <item x="60"/>
        <item x="97"/>
        <item x="41"/>
        <item x="72"/>
        <item x="14"/>
        <item x="1"/>
        <item x="96"/>
        <item x="43"/>
        <item x="122"/>
        <item x="65"/>
        <item x="79"/>
        <item x="40"/>
        <item x="92"/>
        <item x="48"/>
        <item x="19"/>
        <item x="130"/>
        <item x="39"/>
        <item x="136"/>
        <item x="105"/>
        <item x="87"/>
        <item x="81"/>
        <item x="20"/>
        <item x="142"/>
        <item x="128"/>
        <item x="10"/>
        <item x="42"/>
        <item x="38"/>
        <item x="69"/>
        <item x="126"/>
        <item x="90"/>
        <item x="25"/>
        <item x="111"/>
        <item x="116"/>
        <item x="106"/>
        <item x="6"/>
        <item x="134"/>
        <item x="50"/>
        <item x="107"/>
        <item x="74"/>
        <item x="23"/>
        <item x="82"/>
        <item x="129"/>
        <item x="143"/>
        <item x="121"/>
        <item x="89"/>
        <item x="17"/>
        <item x="29"/>
        <item x="61"/>
        <item x="57"/>
        <item x="80"/>
        <item x="66"/>
        <item x="75"/>
        <item x="3"/>
        <item x="140"/>
        <item x="71"/>
        <item x="112"/>
        <item x="83"/>
        <item x="45"/>
        <item x="102"/>
        <item x="131"/>
        <item x="124"/>
        <item x="24"/>
        <item x="119"/>
        <item x="16"/>
        <item x="27"/>
        <item x="15"/>
        <item x="132"/>
        <item x="33"/>
        <item x="4"/>
        <item x="0"/>
        <item t="default"/>
      </items>
    </pivotField>
    <pivotField axis="axisRow" compact="0" showAll="0">
      <items count="5">
        <item x="1"/>
        <item x="2"/>
        <item x="0"/>
        <item x="3"/>
        <item t="default"/>
      </items>
    </pivotField>
    <pivotField compact="0" showAll="0">
      <items count="90">
        <item x="86"/>
        <item x="84"/>
        <item x="77"/>
        <item x="38"/>
        <item x="70"/>
        <item x="58"/>
        <item x="6"/>
        <item x="25"/>
        <item x="9"/>
        <item x="31"/>
        <item x="83"/>
        <item x="26"/>
        <item x="18"/>
        <item x="52"/>
        <item x="73"/>
        <item x="32"/>
        <item x="51"/>
        <item x="75"/>
        <item x="8"/>
        <item x="48"/>
        <item x="16"/>
        <item x="36"/>
        <item x="34"/>
        <item x="24"/>
        <item x="19"/>
        <item x="11"/>
        <item x="64"/>
        <item x="23"/>
        <item x="0"/>
        <item x="41"/>
        <item x="69"/>
        <item x="42"/>
        <item x="82"/>
        <item x="37"/>
        <item x="2"/>
        <item x="7"/>
        <item x="17"/>
        <item x="30"/>
        <item x="28"/>
        <item x="4"/>
        <item x="39"/>
        <item x="85"/>
        <item x="14"/>
        <item x="35"/>
        <item x="50"/>
        <item x="40"/>
        <item x="15"/>
        <item x="87"/>
        <item x="3"/>
        <item x="62"/>
        <item x="53"/>
        <item x="46"/>
        <item x="1"/>
        <item x="12"/>
        <item x="20"/>
        <item x="56"/>
        <item x="66"/>
        <item x="22"/>
        <item x="71"/>
        <item x="57"/>
        <item x="33"/>
        <item x="63"/>
        <item x="43"/>
        <item x="47"/>
        <item x="76"/>
        <item x="27"/>
        <item x="61"/>
        <item x="54"/>
        <item x="67"/>
        <item x="78"/>
        <item x="5"/>
        <item x="13"/>
        <item x="55"/>
        <item x="60"/>
        <item x="79"/>
        <item x="10"/>
        <item x="44"/>
        <item x="72"/>
        <item x="59"/>
        <item x="65"/>
        <item x="68"/>
        <item x="74"/>
        <item x="29"/>
        <item x="21"/>
        <item x="81"/>
        <item x="49"/>
        <item x="45"/>
        <item x="88"/>
        <item x="80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unt of Passeng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24:D215" firstHeaderRow="1" firstDataRow="2" firstDataCol="1"/>
  <pivotFields count="13">
    <pivotField dataField="1" compact="0" showAll="0">
      <items count="8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t="default"/>
      </items>
    </pivotField>
    <pivotField axis="axisCol" compact="0" multipleItemSelectionAllowed="1" showAll="0">
      <items count="3">
        <item x="0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892">
        <item x="845"/>
        <item x="746"/>
        <item x="279"/>
        <item x="308"/>
        <item x="874"/>
        <item x="365"/>
        <item x="401"/>
        <item x="40"/>
        <item x="855"/>
        <item x="207"/>
        <item x="810"/>
        <item x="840"/>
        <item x="210"/>
        <item x="784"/>
        <item x="730"/>
        <item x="4"/>
        <item x="305"/>
        <item x="297"/>
        <item x="498"/>
        <item x="834"/>
        <item x="192"/>
        <item x="460"/>
        <item x="850"/>
        <item x="813"/>
        <item x="119"/>
        <item x="68"/>
        <item x="541"/>
        <item x="542"/>
        <item x="13"/>
        <item x="146"/>
        <item x="610"/>
        <item x="91"/>
        <item x="144"/>
        <item x="275"/>
        <item x="806"/>
        <item x="518"/>
        <item x="571"/>
        <item x="353"/>
        <item x="49"/>
        <item x="493"/>
        <item x="363"/>
        <item x="182"/>
        <item x="261"/>
        <item x="233"/>
        <item x="25"/>
        <item x="700"/>
        <item x="114"/>
        <item x="244"/>
        <item x="369"/>
        <item x="833"/>
        <item x="780"/>
        <item x="206"/>
        <item x="85"/>
        <item x="644"/>
        <item x="469"/>
        <item x="448"/>
        <item x="858"/>
        <item x="661"/>
        <item x="757"/>
        <item x="870"/>
        <item x="327"/>
        <item x="883"/>
        <item x="762"/>
        <item x="702"/>
        <item x="362"/>
        <item x="290"/>
        <item x="630"/>
        <item x="112"/>
        <item x="150"/>
        <item x="168"/>
        <item x="118"/>
        <item x="299"/>
        <item x="218"/>
        <item x="543"/>
        <item x="546"/>
        <item x="372"/>
        <item x="183"/>
        <item x="618"/>
        <item x="248"/>
        <item x="871"/>
        <item x="21"/>
        <item x="889"/>
        <item x="162"/>
        <item x="225"/>
        <item x="733"/>
        <item x="378"/>
        <item x="380"/>
        <item x="74"/>
        <item x="408"/>
        <item x="484"/>
        <item x="291"/>
        <item x="269"/>
        <item x="430"/>
        <item x="339"/>
        <item x="209"/>
        <item x="11"/>
        <item x="628"/>
        <item x="852"/>
        <item x="598"/>
        <item x="140"/>
        <item x="593"/>
        <item x="188"/>
        <item x="657"/>
        <item x="624"/>
        <item x="356"/>
        <item x="221"/>
        <item x="507"/>
        <item x="477"/>
        <item x="0"/>
        <item x="766"/>
        <item x="614"/>
        <item x="345"/>
        <item x="684"/>
        <item x="194"/>
        <item x="670"/>
        <item x="728"/>
        <item x="143"/>
        <item x="337"/>
        <item x="387"/>
        <item x="666"/>
        <item x="536"/>
        <item x="149"/>
        <item x="865"/>
        <item x="534"/>
        <item x="471"/>
        <item x="270"/>
        <item x="707"/>
        <item x="78"/>
        <item x="323"/>
        <item x="163"/>
        <item x="500"/>
        <item x="211"/>
        <item x="466"/>
        <item x="501"/>
        <item x="37"/>
        <item x="578"/>
        <item x="191"/>
        <item x="679"/>
        <item x="756"/>
        <item x="872"/>
        <item x="208"/>
        <item x="83"/>
        <item x="802"/>
        <item x="435"/>
        <item x="390"/>
        <item x="854"/>
        <item x="763"/>
        <item x="249"/>
        <item x="741"/>
        <item x="89"/>
        <item x="92"/>
        <item x="724"/>
        <item x="809"/>
        <item x="695"/>
        <item x="594"/>
        <item x="421"/>
        <item x="257"/>
        <item x="166"/>
        <item x="838"/>
        <item x="90"/>
        <item x="580"/>
        <item x="73"/>
        <item x="426"/>
        <item x="708"/>
        <item x="475"/>
        <item x="131"/>
        <item x="204"/>
        <item x="663"/>
        <item x="514"/>
        <item x="242"/>
        <item x="342"/>
        <item x="662"/>
        <item x="237"/>
        <item x="637"/>
        <item x="801"/>
        <item x="835"/>
        <item x="749"/>
        <item x="289"/>
        <item x="116"/>
        <item x="668"/>
        <item x="646"/>
        <item x="157"/>
        <item x="489"/>
        <item x="348"/>
        <item x="94"/>
        <item x="67"/>
        <item x="160"/>
        <item x="745"/>
        <item x="540"/>
        <item x="844"/>
        <item x="1"/>
        <item x="413"/>
        <item x="338"/>
        <item x="882"/>
        <item x="687"/>
        <item x="510"/>
        <item x="857"/>
        <item x="616"/>
        <item x="423"/>
        <item x="607"/>
        <item x="321"/>
        <item x="794"/>
        <item x="671"/>
        <item x="549"/>
        <item x="565"/>
        <item x="385"/>
        <item x="635"/>
        <item x="347"/>
        <item x="559"/>
        <item x="286"/>
        <item x="282"/>
        <item x="788"/>
        <item x="93"/>
        <item x="361"/>
        <item x="335"/>
        <item x="320"/>
        <item x="44"/>
        <item x="690"/>
        <item x="781"/>
        <item x="349"/>
        <item x="445"/>
        <item x="568"/>
        <item x="651"/>
        <item x="98"/>
        <item x="890"/>
        <item x="283"/>
        <item x="544"/>
        <item x="79"/>
        <item x="582"/>
        <item x="130"/>
        <item x="416"/>
        <item x="280"/>
        <item x="556"/>
        <item x="599"/>
        <item x="866"/>
        <item x="675"/>
        <item x="658"/>
        <item x="764"/>
        <item x="129"/>
        <item x="773"/>
        <item x="532"/>
        <item x="352"/>
        <item x="592"/>
        <item x="777"/>
        <item x="26"/>
        <item x="716"/>
        <item x="496"/>
        <item x="228"/>
        <item x="525"/>
        <item x="527"/>
        <item x="53"/>
        <item x="688"/>
        <item x="306"/>
        <item x="428"/>
        <item x="825"/>
        <item x="572"/>
        <item x="643"/>
        <item x="436"/>
        <item x="147"/>
        <item x="86"/>
        <item x="736"/>
        <item x="452"/>
        <item x="341"/>
        <item x="88"/>
        <item x="27"/>
        <item x="438"/>
        <item x="344"/>
        <item x="309"/>
        <item x="660"/>
        <item x="334"/>
        <item x="539"/>
        <item x="587"/>
        <item x="481"/>
        <item x="815"/>
        <item x="357"/>
        <item x="137"/>
        <item x="3"/>
        <item x="20"/>
        <item x="405"/>
        <item x="703"/>
        <item x="760"/>
        <item x="576"/>
        <item x="791"/>
        <item x="619"/>
        <item x="462"/>
        <item x="420"/>
        <item x="139"/>
        <item x="861"/>
        <item x="588"/>
        <item x="864"/>
        <item x="722"/>
        <item x="156"/>
        <item x="213"/>
        <item x="32"/>
        <item x="453"/>
        <item x="849"/>
        <item x="96"/>
        <item x="165"/>
        <item x="548"/>
        <item x="328"/>
        <item x="465"/>
        <item x="480"/>
        <item x="386"/>
        <item x="59"/>
        <item x="71"/>
        <item x="683"/>
        <item x="678"/>
        <item x="887"/>
        <item x="332"/>
        <item x="268"/>
        <item x="222"/>
        <item x="714"/>
        <item x="97"/>
        <item x="769"/>
        <item x="789"/>
        <item x="876"/>
        <item x="104"/>
        <item x="392"/>
        <item x="379"/>
        <item x="293"/>
        <item x="451"/>
        <item x="490"/>
        <item x="403"/>
        <item x="142"/>
        <item x="178"/>
        <item x="755"/>
        <item x="247"/>
        <item x="441"/>
        <item x="296"/>
        <item x="860"/>
        <item x="704"/>
        <item x="623"/>
        <item x="370"/>
        <item x="235"/>
        <item x="785"/>
        <item x="720"/>
        <item x="645"/>
        <item x="52"/>
        <item x="848"/>
        <item x="602"/>
        <item x="570"/>
        <item x="62"/>
        <item x="219"/>
        <item x="230"/>
        <item x="263"/>
        <item x="535"/>
        <item x="314"/>
        <item x="411"/>
        <item x="440"/>
        <item x="681"/>
        <item x="731"/>
        <item x="740"/>
        <item x="310"/>
        <item x="820"/>
        <item x="274"/>
        <item x="804"/>
        <item x="654"/>
        <item x="2"/>
        <item x="816"/>
        <item x="313"/>
        <item x="264"/>
        <item x="615"/>
        <item x="754"/>
        <item x="15"/>
        <item x="655"/>
        <item x="665"/>
        <item x="120"/>
        <item x="329"/>
        <item x="523"/>
        <item x="479"/>
        <item x="529"/>
        <item x="774"/>
        <item x="723"/>
        <item x="765"/>
        <item x="236"/>
        <item x="818"/>
        <item x="35"/>
        <item x="383"/>
        <item x="604"/>
        <item x="216"/>
        <item x="72"/>
        <item x="613"/>
        <item x="288"/>
        <item x="224"/>
        <item x="793"/>
        <item x="486"/>
        <item x="699"/>
        <item x="239"/>
        <item x="798"/>
        <item x="61"/>
        <item x="84"/>
        <item x="729"/>
        <item x="177"/>
        <item x="738"/>
        <item x="217"/>
        <item x="600"/>
        <item x="455"/>
        <item x="391"/>
        <item x="611"/>
        <item x="586"/>
        <item x="70"/>
        <item x="640"/>
        <item x="771"/>
        <item x="721"/>
        <item x="368"/>
        <item x="473"/>
        <item x="444"/>
        <item x="202"/>
        <item x="395"/>
        <item x="103"/>
        <item x="805"/>
        <item x="869"/>
        <item x="172"/>
        <item x="597"/>
        <item x="719"/>
        <item x="302"/>
        <item x="8"/>
        <item x="888"/>
        <item x="783"/>
        <item x="753"/>
        <item x="569"/>
        <item x="113"/>
        <item x="402"/>
        <item x="579"/>
        <item x="433"/>
        <item x="652"/>
        <item x="99"/>
        <item x="316"/>
        <item x="606"/>
        <item x="478"/>
        <item x="691"/>
        <item x="524"/>
        <item x="303"/>
        <item x="790"/>
        <item x="470"/>
        <item x="300"/>
        <item x="573"/>
        <item x="696"/>
        <item x="706"/>
        <item x="487"/>
        <item x="457"/>
        <item x="214"/>
        <item x="778"/>
        <item x="621"/>
        <item x="69"/>
        <item x="184"/>
        <item x="626"/>
        <item x="711"/>
        <item x="175"/>
        <item x="732"/>
        <item x="42"/>
        <item x="439"/>
        <item x="522"/>
        <item x="312"/>
        <item x="503"/>
        <item x="878"/>
        <item x="692"/>
        <item x="826"/>
        <item x="376"/>
        <item x="509"/>
        <item x="43"/>
        <item x="685"/>
        <item x="608"/>
        <item x="713"/>
        <item x="231"/>
        <item x="796"/>
        <item x="553"/>
        <item x="176"/>
        <item x="409"/>
        <item x="485"/>
        <item x="229"/>
        <item x="389"/>
        <item x="636"/>
        <item x="596"/>
        <item x="843"/>
        <item x="516"/>
        <item x="46"/>
        <item x="179"/>
        <item x="537"/>
        <item x="811"/>
        <item x="737"/>
        <item x="292"/>
        <item x="295"/>
        <item x="234"/>
        <item x="770"/>
        <item x="246"/>
        <item x="276"/>
        <item x="605"/>
        <item x="664"/>
        <item x="853"/>
        <item x="169"/>
        <item x="253"/>
        <item x="617"/>
        <item x="782"/>
        <item x="627"/>
        <item x="432"/>
        <item x="227"/>
        <item x="821"/>
        <item x="631"/>
        <item x="195"/>
        <item x="772"/>
        <item x="198"/>
        <item x="689"/>
        <item x="127"/>
        <item x="243"/>
        <item x="504"/>
        <item x="464"/>
        <item x="827"/>
        <item x="817"/>
        <item x="36"/>
        <item x="767"/>
        <item x="727"/>
        <item x="839"/>
        <item x="847"/>
        <item x="881"/>
        <item x="748"/>
        <item x="19"/>
        <item x="418"/>
        <item x="710"/>
        <item x="6"/>
        <item x="828"/>
        <item x="330"/>
        <item x="301"/>
        <item x="82"/>
        <item x="718"/>
        <item x="512"/>
        <item x="358"/>
        <item x="22"/>
        <item x="397"/>
        <item x="126"/>
        <item x="743"/>
        <item x="564"/>
        <item x="415"/>
        <item x="446"/>
        <item x="272"/>
        <item x="226"/>
        <item x="152"/>
        <item x="196"/>
        <item x="808"/>
        <item x="34"/>
        <item x="375"/>
        <item x="456"/>
        <item x="463"/>
        <item x="245"/>
        <item x="412"/>
        <item x="294"/>
        <item x="105"/>
        <item x="672"/>
        <item x="650"/>
        <item x="359"/>
        <item x="75"/>
        <item x="492"/>
        <item x="886"/>
        <item x="751"/>
        <item x="823"/>
        <item x="121"/>
        <item x="109"/>
        <item x="768"/>
        <item x="5"/>
        <item x="317"/>
        <item x="705"/>
        <item x="461"/>
        <item x="560"/>
        <item x="107"/>
        <item x="65"/>
        <item x="709"/>
        <item x="367"/>
        <item x="77"/>
        <item x="841"/>
        <item x="697"/>
        <item x="589"/>
        <item x="241"/>
        <item x="612"/>
        <item x="775"/>
        <item x="287"/>
        <item x="875"/>
        <item x="381"/>
        <item x="622"/>
        <item x="739"/>
        <item x="122"/>
        <item x="9"/>
        <item x="273"/>
        <item x="340"/>
        <item x="193"/>
        <item x="148"/>
        <item x="223"/>
        <item x="215"/>
        <item x="393"/>
        <item x="659"/>
        <item x="136"/>
        <item x="145"/>
        <item x="545"/>
        <item x="125"/>
        <item x="39"/>
        <item x="315"/>
        <item x="761"/>
        <item x="400"/>
        <item x="562"/>
        <item x="51"/>
        <item x="57"/>
        <item x="66"/>
        <item x="141"/>
        <item x="326"/>
        <item x="364"/>
        <item x="552"/>
        <item x="186"/>
        <item x="629"/>
        <item x="459"/>
        <item x="350"/>
        <item x="47"/>
        <item x="28"/>
        <item x="554"/>
        <item x="653"/>
        <item x="508"/>
        <item x="197"/>
        <item x="154"/>
        <item x="396"/>
        <item x="281"/>
        <item x="682"/>
        <item x="404"/>
        <item x="725"/>
        <item x="138"/>
        <item x="797"/>
        <item x="54"/>
        <item x="502"/>
        <item x="795"/>
        <item x="547"/>
        <item x="398"/>
        <item x="7"/>
        <item x="374"/>
        <item x="24"/>
        <item x="567"/>
        <item x="164"/>
        <item x="50"/>
        <item x="824"/>
        <item x="266"/>
        <item x="686"/>
        <item x="638"/>
        <item x="277"/>
        <item x="633"/>
        <item x="259"/>
        <item x="331"/>
        <item x="836"/>
        <item x="575"/>
        <item x="584"/>
        <item x="519"/>
        <item x="336"/>
        <item x="151"/>
        <item x="454"/>
        <item x="115"/>
        <item x="505"/>
        <item x="307"/>
        <item x="238"/>
        <item x="212"/>
        <item x="181"/>
        <item x="520"/>
        <item x="267"/>
        <item x="128"/>
        <item x="533"/>
        <item x="680"/>
        <item x="100"/>
        <item x="877"/>
        <item x="101"/>
        <item x="442"/>
        <item x="807"/>
        <item x="449"/>
        <item x="427"/>
        <item x="429"/>
        <item x="190"/>
        <item x="384"/>
        <item x="800"/>
        <item x="110"/>
        <item x="879"/>
        <item x="530"/>
        <item x="506"/>
        <item x="656"/>
        <item x="859"/>
        <item x="250"/>
        <item x="265"/>
        <item x="108"/>
        <item x="476"/>
        <item x="726"/>
        <item x="822"/>
        <item x="443"/>
        <item x="171"/>
        <item x="278"/>
        <item x="16"/>
        <item x="787"/>
        <item x="885"/>
        <item x="135"/>
        <item x="831"/>
        <item x="407"/>
        <item x="437"/>
        <item x="526"/>
        <item x="373"/>
        <item x="590"/>
        <item x="538"/>
        <item x="557"/>
        <item x="779"/>
        <item x="132"/>
        <item x="867"/>
        <item x="45"/>
        <item x="187"/>
        <item x="667"/>
        <item x="185"/>
        <item x="424"/>
        <item x="254"/>
        <item x="583"/>
        <item x="759"/>
        <item x="513"/>
        <item x="482"/>
        <item x="56"/>
        <item x="574"/>
        <item x="517"/>
        <item x="311"/>
        <item x="742"/>
        <item x="832"/>
        <item x="693"/>
        <item x="298"/>
        <item x="388"/>
        <item x="159"/>
        <item x="180"/>
        <item x="863"/>
        <item x="792"/>
        <item x="846"/>
        <item x="201"/>
        <item x="324"/>
        <item x="641"/>
        <item x="106"/>
        <item x="528"/>
        <item x="48"/>
        <item x="10"/>
        <item x="394"/>
        <item x="12"/>
        <item x="676"/>
        <item x="468"/>
        <item x="410"/>
        <item x="343"/>
        <item x="842"/>
        <item x="447"/>
        <item x="551"/>
        <item x="81"/>
        <item x="497"/>
        <item x="880"/>
        <item x="95"/>
        <item x="609"/>
        <item x="417"/>
        <item x="701"/>
        <item x="434"/>
        <item x="577"/>
        <item x="563"/>
        <item x="647"/>
        <item x="747"/>
        <item x="60"/>
        <item x="837"/>
        <item x="561"/>
        <item x="173"/>
        <item x="786"/>
        <item x="232"/>
        <item x="63"/>
        <item x="819"/>
        <item x="634"/>
        <item x="642"/>
        <item x="360"/>
        <item x="167"/>
        <item x="601"/>
        <item x="322"/>
        <item x="812"/>
        <item x="87"/>
        <item x="23"/>
        <item x="467"/>
        <item x="158"/>
        <item x="346"/>
        <item x="174"/>
        <item x="284"/>
        <item x="260"/>
        <item x="134"/>
        <item x="715"/>
        <item x="488"/>
        <item x="319"/>
        <item x="31"/>
        <item x="632"/>
        <item x="76"/>
        <item x="285"/>
        <item x="649"/>
        <item x="494"/>
        <item x="252"/>
        <item x="591"/>
        <item x="64"/>
        <item x="829"/>
        <item x="566"/>
        <item x="474"/>
        <item x="744"/>
        <item x="205"/>
        <item x="251"/>
        <item x="220"/>
        <item x="414"/>
        <item x="884"/>
        <item x="625"/>
        <item x="851"/>
        <item x="499"/>
        <item x="862"/>
        <item x="585"/>
        <item x="262"/>
        <item x="558"/>
        <item x="712"/>
        <item x="669"/>
        <item x="698"/>
        <item x="550"/>
        <item x="581"/>
        <item x="758"/>
        <item x="803"/>
        <item x="256"/>
        <item x="639"/>
        <item x="431"/>
        <item x="382"/>
        <item x="776"/>
        <item x="29"/>
        <item x="814"/>
        <item x="458"/>
        <item x="603"/>
        <item x="271"/>
        <item x="531"/>
        <item x="255"/>
        <item x="734"/>
        <item x="399"/>
        <item x="717"/>
        <item x="189"/>
        <item x="677"/>
        <item x="483"/>
        <item x="117"/>
        <item x="41"/>
        <item x="30"/>
        <item x="153"/>
        <item x="170"/>
        <item x="419"/>
        <item x="595"/>
        <item x="799"/>
        <item x="868"/>
        <item x="752"/>
        <item x="200"/>
        <item x="355"/>
        <item x="873"/>
        <item x="38"/>
        <item x="333"/>
        <item x="18"/>
        <item x="14"/>
        <item x="521"/>
        <item x="80"/>
        <item x="515"/>
        <item x="258"/>
        <item x="366"/>
        <item x="674"/>
        <item x="161"/>
        <item x="123"/>
        <item x="511"/>
        <item x="694"/>
        <item x="133"/>
        <item x="750"/>
        <item x="58"/>
        <item x="450"/>
        <item x="472"/>
        <item x="33"/>
        <item x="124"/>
        <item x="102"/>
        <item x="318"/>
        <item x="856"/>
        <item x="406"/>
        <item x="377"/>
        <item x="371"/>
        <item x="673"/>
        <item x="648"/>
        <item x="155"/>
        <item x="17"/>
        <item x="304"/>
        <item x="735"/>
        <item x="351"/>
        <item x="491"/>
        <item x="425"/>
        <item x="55"/>
        <item x="555"/>
        <item x="620"/>
        <item x="830"/>
        <item x="325"/>
        <item x="203"/>
        <item x="354"/>
        <item x="495"/>
        <item x="199"/>
        <item x="111"/>
        <item x="240"/>
        <item x="422"/>
        <item t="default"/>
      </items>
    </pivotField>
    <pivotField compact="0" showAll="0">
      <items count="3">
        <item x="1"/>
        <item x="0"/>
        <item t="default"/>
      </items>
    </pivotField>
    <pivotField axis="axisRow" compact="0" showAll="0">
      <items count="90">
        <item x="86"/>
        <item x="84"/>
        <item x="77"/>
        <item x="38"/>
        <item x="70"/>
        <item x="58"/>
        <item x="6"/>
        <item x="25"/>
        <item x="9"/>
        <item x="31"/>
        <item x="83"/>
        <item x="26"/>
        <item x="18"/>
        <item x="52"/>
        <item x="73"/>
        <item x="32"/>
        <item x="51"/>
        <item x="75"/>
        <item x="8"/>
        <item x="48"/>
        <item x="16"/>
        <item x="36"/>
        <item x="34"/>
        <item x="24"/>
        <item x="19"/>
        <item x="11"/>
        <item x="64"/>
        <item x="23"/>
        <item x="0"/>
        <item x="41"/>
        <item x="69"/>
        <item x="42"/>
        <item x="82"/>
        <item x="37"/>
        <item x="2"/>
        <item x="7"/>
        <item x="17"/>
        <item x="30"/>
        <item x="28"/>
        <item x="39"/>
        <item x="85"/>
        <item x="14"/>
        <item x="35"/>
        <item x="50"/>
        <item x="40"/>
        <item x="15"/>
        <item x="87"/>
        <item x="3"/>
        <item x="62"/>
        <item x="53"/>
        <item x="46"/>
        <item x="1"/>
        <item x="12"/>
        <item x="20"/>
        <item x="56"/>
        <item x="66"/>
        <item x="22"/>
        <item x="71"/>
        <item x="57"/>
        <item x="33"/>
        <item x="63"/>
        <item x="43"/>
        <item x="47"/>
        <item x="76"/>
        <item x="27"/>
        <item x="61"/>
        <item x="54"/>
        <item x="67"/>
        <item x="78"/>
        <item x="5"/>
        <item x="13"/>
        <item x="55"/>
        <item x="60"/>
        <item x="79"/>
        <item x="10"/>
        <item x="44"/>
        <item x="72"/>
        <item x="59"/>
        <item x="65"/>
        <item x="68"/>
        <item x="74"/>
        <item x="29"/>
        <item x="21"/>
        <item x="81"/>
        <item x="49"/>
        <item x="45"/>
        <item x="88"/>
        <item x="80"/>
        <item x="4"/>
        <item t="default"/>
      </items>
    </pivotField>
    <pivotField compact="0" showAll="0">
      <items count="8">
        <item x="1"/>
        <item x="0"/>
        <item x="4"/>
        <item x="2"/>
        <item x="3"/>
        <item x="5"/>
        <item x="6"/>
        <item t="default"/>
      </items>
    </pivotField>
    <pivotField compact="0" showAll="0">
      <items count="8">
        <item x="0"/>
        <item x="1"/>
        <item x="2"/>
        <item x="4"/>
        <item x="5"/>
        <item x="3"/>
        <item x="6"/>
        <item t="default"/>
      </items>
    </pivotField>
    <pivotField compact="0" showAll="0">
      <items count="682">
        <item x="453"/>
        <item x="668"/>
        <item x="72"/>
        <item x="363"/>
        <item x="644"/>
        <item x="457"/>
        <item x="530"/>
        <item x="437"/>
        <item x="625"/>
        <item x="317"/>
        <item x="111"/>
        <item x="182"/>
        <item x="658"/>
        <item x="25"/>
        <item x="444"/>
        <item x="307"/>
        <item x="325"/>
        <item x="19"/>
        <item x="228"/>
        <item x="38"/>
        <item x="328"/>
        <item x="505"/>
        <item x="64"/>
        <item x="47"/>
        <item x="599"/>
        <item x="492"/>
        <item x="108"/>
        <item x="379"/>
        <item x="670"/>
        <item x="119"/>
        <item x="59"/>
        <item x="642"/>
        <item x="553"/>
        <item x="607"/>
        <item x="35"/>
        <item x="130"/>
        <item x="71"/>
        <item x="650"/>
        <item x="624"/>
        <item x="469"/>
        <item x="612"/>
        <item x="478"/>
        <item x="445"/>
        <item x="313"/>
        <item x="265"/>
        <item x="218"/>
        <item x="306"/>
        <item x="56"/>
        <item x="185"/>
        <item x="438"/>
        <item x="452"/>
        <item x="52"/>
        <item x="482"/>
        <item x="403"/>
        <item x="631"/>
        <item x="160"/>
        <item x="408"/>
        <item x="422"/>
        <item x="110"/>
        <item x="344"/>
        <item x="545"/>
        <item x="177"/>
        <item x="531"/>
        <item x="547"/>
        <item x="304"/>
        <item x="128"/>
        <item x="100"/>
        <item x="566"/>
        <item x="39"/>
        <item x="674"/>
        <item x="401"/>
        <item x="294"/>
        <item x="603"/>
        <item x="525"/>
        <item x="268"/>
        <item x="40"/>
        <item x="222"/>
        <item x="127"/>
        <item x="506"/>
        <item x="460"/>
        <item x="320"/>
        <item x="276"/>
        <item x="472"/>
        <item x="409"/>
        <item x="648"/>
        <item x="196"/>
        <item x="260"/>
        <item x="573"/>
        <item x="618"/>
        <item x="435"/>
        <item x="481"/>
        <item x="521"/>
        <item x="515"/>
        <item x="245"/>
        <item x="371"/>
        <item x="386"/>
        <item x="484"/>
        <item x="450"/>
        <item x="46"/>
        <item x="474"/>
        <item x="318"/>
        <item x="485"/>
        <item x="284"/>
        <item x="585"/>
        <item x="272"/>
        <item x="383"/>
        <item x="6"/>
        <item x="387"/>
        <item x="622"/>
        <item x="661"/>
        <item x="551"/>
        <item x="158"/>
        <item x="259"/>
        <item x="219"/>
        <item x="202"/>
        <item x="54"/>
        <item x="26"/>
        <item x="390"/>
        <item x="639"/>
        <item x="267"/>
        <item x="537"/>
        <item x="200"/>
        <item x="550"/>
        <item x="423"/>
        <item x="211"/>
        <item x="513"/>
        <item x="116"/>
        <item x="331"/>
        <item x="660"/>
        <item x="632"/>
        <item x="621"/>
        <item x="354"/>
        <item x="356"/>
        <item x="339"/>
        <item x="173"/>
        <item x="581"/>
        <item x="289"/>
        <item x="346"/>
        <item x="213"/>
        <item x="282"/>
        <item x="591"/>
        <item x="443"/>
        <item x="608"/>
        <item x="348"/>
        <item x="596"/>
        <item x="538"/>
        <item x="529"/>
        <item x="402"/>
        <item x="504"/>
        <item x="300"/>
        <item x="377"/>
        <item x="569"/>
        <item x="193"/>
        <item x="99"/>
        <item x="145"/>
        <item x="557"/>
        <item x="397"/>
        <item x="570"/>
        <item x="560"/>
        <item x="611"/>
        <item x="577"/>
        <item x="283"/>
        <item x="416"/>
        <item x="509"/>
        <item x="431"/>
        <item x="61"/>
        <item x="508"/>
        <item x="381"/>
        <item x="411"/>
        <item x="376"/>
        <item x="230"/>
        <item x="234"/>
        <item x="107"/>
        <item x="367"/>
        <item x="316"/>
        <item x="156"/>
        <item x="392"/>
        <item x="290"/>
        <item x="679"/>
        <item x="496"/>
        <item x="424"/>
        <item x="169"/>
        <item x="628"/>
        <item x="516"/>
        <item x="678"/>
        <item x="634"/>
        <item x="235"/>
        <item x="187"/>
        <item x="601"/>
        <item x="565"/>
        <item x="291"/>
        <item x="447"/>
        <item x="382"/>
        <item x="657"/>
        <item x="253"/>
        <item x="81"/>
        <item x="613"/>
        <item x="324"/>
        <item x="154"/>
        <item x="53"/>
        <item x="305"/>
        <item x="225"/>
        <item x="60"/>
        <item x="334"/>
        <item x="167"/>
        <item x="589"/>
        <item x="140"/>
        <item x="266"/>
        <item x="11"/>
        <item x="295"/>
        <item x="380"/>
        <item x="413"/>
        <item x="23"/>
        <item x="34"/>
        <item x="396"/>
        <item x="378"/>
        <item x="494"/>
        <item x="241"/>
        <item x="554"/>
        <item x="3"/>
        <item x="499"/>
        <item x="575"/>
        <item x="459"/>
        <item x="677"/>
        <item x="464"/>
        <item x="510"/>
        <item x="199"/>
        <item x="503"/>
        <item x="562"/>
        <item x="270"/>
        <item x="433"/>
        <item x="124"/>
        <item x="298"/>
        <item x="137"/>
        <item x="165"/>
        <item x="232"/>
        <item x="375"/>
        <item x="95"/>
        <item x="134"/>
        <item x="582"/>
        <item x="662"/>
        <item x="393"/>
        <item x="172"/>
        <item x="534"/>
        <item x="287"/>
        <item x="206"/>
        <item x="663"/>
        <item x="578"/>
        <item x="208"/>
        <item x="483"/>
        <item x="517"/>
        <item x="309"/>
        <item x="9"/>
        <item x="480"/>
        <item x="257"/>
        <item x="247"/>
        <item x="406"/>
        <item x="580"/>
        <item x="542"/>
        <item x="20"/>
        <item x="341"/>
        <item x="195"/>
        <item x="477"/>
        <item x="223"/>
        <item x="541"/>
        <item x="340"/>
        <item x="138"/>
        <item x="455"/>
        <item x="297"/>
        <item x="96"/>
        <item x="17"/>
        <item x="21"/>
        <item x="15"/>
        <item x="630"/>
        <item x="491"/>
        <item x="555"/>
        <item x="299"/>
        <item x="76"/>
        <item x="296"/>
        <item x="179"/>
        <item x="574"/>
        <item x="242"/>
        <item x="191"/>
        <item x="567"/>
        <item x="588"/>
        <item x="221"/>
        <item x="278"/>
        <item x="355"/>
        <item x="162"/>
        <item x="364"/>
        <item x="104"/>
        <item x="349"/>
        <item x="535"/>
        <item x="147"/>
        <item x="360"/>
        <item x="446"/>
        <item x="419"/>
        <item x="303"/>
        <item x="399"/>
        <item x="651"/>
        <item x="152"/>
        <item x="576"/>
        <item x="345"/>
        <item x="646"/>
        <item x="638"/>
        <item x="68"/>
        <item x="166"/>
        <item x="398"/>
        <item x="322"/>
        <item x="109"/>
        <item x="5"/>
        <item x="421"/>
        <item x="526"/>
        <item x="22"/>
        <item x="310"/>
        <item x="80"/>
        <item x="546"/>
        <item x="43"/>
        <item x="27"/>
        <item x="456"/>
        <item x="311"/>
        <item x="512"/>
        <item x="590"/>
        <item x="31"/>
        <item x="249"/>
        <item x="343"/>
        <item x="544"/>
        <item x="353"/>
        <item x="103"/>
        <item x="86"/>
        <item x="87"/>
        <item x="288"/>
        <item x="461"/>
        <item x="18"/>
        <item x="37"/>
        <item x="669"/>
        <item x="78"/>
        <item x="373"/>
        <item x="180"/>
        <item x="357"/>
        <item x="255"/>
        <item x="666"/>
        <item x="251"/>
        <item x="79"/>
        <item x="593"/>
        <item x="604"/>
        <item x="308"/>
        <item x="184"/>
        <item x="654"/>
        <item x="120"/>
        <item x="571"/>
        <item x="627"/>
        <item x="347"/>
        <item x="207"/>
        <item x="151"/>
        <item x="326"/>
        <item x="220"/>
        <item x="246"/>
        <item x="600"/>
        <item x="374"/>
        <item x="24"/>
        <item x="609"/>
        <item x="361"/>
        <item x="131"/>
        <item x="13"/>
        <item x="238"/>
        <item x="458"/>
        <item x="629"/>
        <item x="62"/>
        <item x="626"/>
        <item x="250"/>
        <item x="88"/>
        <item x="643"/>
        <item x="281"/>
        <item x="8"/>
        <item x="514"/>
        <item x="558"/>
        <item x="73"/>
        <item x="568"/>
        <item x="583"/>
        <item x="620"/>
        <item x="594"/>
        <item x="468"/>
        <item x="256"/>
        <item x="102"/>
        <item x="74"/>
        <item x="430"/>
        <item x="532"/>
        <item x="671"/>
        <item x="653"/>
        <item x="493"/>
        <item x="98"/>
        <item x="28"/>
        <item x="672"/>
        <item x="584"/>
        <item x="286"/>
        <item x="524"/>
        <item x="350"/>
        <item x="528"/>
        <item x="511"/>
        <item x="293"/>
        <item x="330"/>
        <item x="548"/>
        <item x="520"/>
        <item x="263"/>
        <item x="201"/>
        <item x="262"/>
        <item x="48"/>
        <item x="254"/>
        <item x="385"/>
        <item x="121"/>
        <item x="434"/>
        <item x="279"/>
        <item x="623"/>
        <item x="97"/>
        <item x="498"/>
        <item x="171"/>
        <item x="667"/>
        <item x="105"/>
        <item x="463"/>
        <item x="436"/>
        <item x="41"/>
        <item x="358"/>
        <item x="552"/>
        <item x="673"/>
        <item x="7"/>
        <item x="497"/>
        <item x="543"/>
        <item x="561"/>
        <item x="659"/>
        <item x="507"/>
        <item x="335"/>
        <item x="418"/>
        <item x="549"/>
        <item x="595"/>
        <item x="136"/>
        <item x="174"/>
        <item x="605"/>
        <item x="572"/>
        <item x="519"/>
        <item x="337"/>
        <item x="404"/>
        <item x="159"/>
        <item x="14"/>
        <item x="338"/>
        <item x="470"/>
        <item x="476"/>
        <item x="224"/>
        <item x="153"/>
        <item x="597"/>
        <item x="556"/>
        <item x="449"/>
        <item x="633"/>
        <item x="91"/>
        <item x="391"/>
        <item x="495"/>
        <item x="502"/>
        <item x="77"/>
        <item x="420"/>
        <item x="489"/>
        <item x="170"/>
        <item x="602"/>
        <item x="365"/>
        <item x="133"/>
        <item x="527"/>
        <item x="269"/>
        <item x="641"/>
        <item x="192"/>
        <item x="215"/>
        <item x="186"/>
        <item x="439"/>
        <item x="332"/>
        <item x="640"/>
        <item x="176"/>
        <item x="227"/>
        <item x="168"/>
        <item x="113"/>
        <item x="178"/>
        <item x="45"/>
        <item x="117"/>
        <item x="258"/>
        <item x="244"/>
        <item x="680"/>
        <item x="501"/>
        <item x="389"/>
        <item x="106"/>
        <item x="149"/>
        <item x="462"/>
        <item x="4"/>
        <item x="75"/>
        <item x="616"/>
        <item x="92"/>
        <item x="368"/>
        <item x="586"/>
        <item x="236"/>
        <item x="426"/>
        <item x="16"/>
        <item x="610"/>
        <item x="233"/>
        <item x="301"/>
        <item x="656"/>
        <item x="647"/>
        <item x="592"/>
        <item x="351"/>
        <item x="181"/>
        <item x="617"/>
        <item x="321"/>
        <item x="101"/>
        <item x="336"/>
        <item x="83"/>
        <item x="67"/>
        <item x="49"/>
        <item x="442"/>
        <item x="405"/>
        <item x="36"/>
        <item x="486"/>
        <item x="141"/>
        <item x="410"/>
        <item x="415"/>
        <item x="467"/>
        <item x="475"/>
        <item x="362"/>
        <item x="50"/>
        <item x="0"/>
        <item x="285"/>
        <item x="205"/>
        <item x="190"/>
        <item x="271"/>
        <item x="384"/>
        <item x="536"/>
        <item x="183"/>
        <item x="407"/>
        <item x="488"/>
        <item x="252"/>
        <item x="359"/>
        <item x="12"/>
        <item x="226"/>
        <item x="123"/>
        <item x="142"/>
        <item x="394"/>
        <item x="115"/>
        <item x="118"/>
        <item x="425"/>
        <item x="637"/>
        <item x="315"/>
        <item x="323"/>
        <item x="237"/>
        <item x="372"/>
        <item x="90"/>
        <item x="32"/>
        <item x="540"/>
        <item x="248"/>
        <item x="125"/>
        <item x="65"/>
        <item x="209"/>
        <item x="55"/>
        <item x="212"/>
        <item x="69"/>
        <item x="135"/>
        <item x="150"/>
        <item x="432"/>
        <item x="57"/>
        <item x="302"/>
        <item x="652"/>
        <item x="417"/>
        <item x="675"/>
        <item x="58"/>
        <item x="523"/>
        <item x="148"/>
        <item x="539"/>
        <item x="189"/>
        <item x="280"/>
        <item x="388"/>
        <item x="143"/>
        <item x="163"/>
        <item x="274"/>
        <item x="155"/>
        <item x="428"/>
        <item x="473"/>
        <item x="559"/>
        <item x="563"/>
        <item x="319"/>
        <item x="564"/>
        <item x="441"/>
        <item x="275"/>
        <item x="114"/>
        <item x="30"/>
        <item x="51"/>
        <item x="239"/>
        <item x="229"/>
        <item x="665"/>
        <item x="655"/>
        <item x="129"/>
        <item x="161"/>
        <item x="243"/>
        <item x="144"/>
        <item x="1"/>
        <item x="619"/>
        <item x="29"/>
        <item x="429"/>
        <item x="33"/>
        <item x="63"/>
        <item x="277"/>
        <item x="414"/>
        <item x="175"/>
        <item x="292"/>
        <item x="264"/>
        <item x="93"/>
        <item x="231"/>
        <item x="645"/>
        <item x="327"/>
        <item x="273"/>
        <item x="94"/>
        <item x="240"/>
        <item x="448"/>
        <item x="203"/>
        <item x="10"/>
        <item x="44"/>
        <item x="636"/>
        <item x="606"/>
        <item x="522"/>
        <item x="70"/>
        <item x="139"/>
        <item x="66"/>
        <item x="471"/>
        <item x="333"/>
        <item x="490"/>
        <item x="369"/>
        <item x="400"/>
        <item x="42"/>
        <item x="164"/>
        <item x="126"/>
        <item x="454"/>
        <item x="664"/>
        <item x="261"/>
        <item x="312"/>
        <item x="214"/>
        <item x="82"/>
        <item x="500"/>
        <item x="395"/>
        <item x="122"/>
        <item x="314"/>
        <item x="188"/>
        <item x="615"/>
        <item x="366"/>
        <item x="466"/>
        <item x="598"/>
        <item x="649"/>
        <item x="427"/>
        <item x="412"/>
        <item x="676"/>
        <item x="465"/>
        <item x="85"/>
        <item x="198"/>
        <item x="146"/>
        <item x="352"/>
        <item x="487"/>
        <item x="370"/>
        <item x="217"/>
        <item x="157"/>
        <item x="533"/>
        <item x="479"/>
        <item x="587"/>
        <item x="342"/>
        <item x="518"/>
        <item x="329"/>
        <item x="112"/>
        <item x="579"/>
        <item x="132"/>
        <item x="2"/>
        <item x="194"/>
        <item x="635"/>
        <item x="204"/>
        <item x="440"/>
        <item x="216"/>
        <item x="614"/>
        <item x="84"/>
        <item x="210"/>
        <item x="89"/>
        <item x="197"/>
        <item x="451"/>
        <item t="default"/>
      </items>
    </pivotField>
    <pivotField compact="0" showAll="0">
      <items count="249">
        <item x="104"/>
        <item x="163"/>
        <item x="245"/>
        <item x="152"/>
        <item x="240"/>
        <item x="237"/>
        <item x="110"/>
        <item x="85"/>
        <item x="171"/>
        <item x="238"/>
        <item x="78"/>
        <item x="185"/>
        <item x="79"/>
        <item x="218"/>
        <item x="123"/>
        <item x="76"/>
        <item x="18"/>
        <item x="32"/>
        <item x="0"/>
        <item x="91"/>
        <item x="196"/>
        <item x="186"/>
        <item x="120"/>
        <item x="192"/>
        <item x="55"/>
        <item x="182"/>
        <item x="166"/>
        <item x="93"/>
        <item x="229"/>
        <item x="227"/>
        <item x="28"/>
        <item x="71"/>
        <item x="60"/>
        <item x="88"/>
        <item x="41"/>
        <item x="204"/>
        <item x="13"/>
        <item x="173"/>
        <item x="24"/>
        <item x="235"/>
        <item x="25"/>
        <item x="2"/>
        <item x="20"/>
        <item x="4"/>
        <item x="176"/>
        <item x="222"/>
        <item x="50"/>
        <item x="239"/>
        <item x="230"/>
        <item x="109"/>
        <item x="219"/>
        <item x="5"/>
        <item x="234"/>
        <item x="70"/>
        <item x="51"/>
        <item x="233"/>
        <item x="211"/>
        <item x="138"/>
        <item x="58"/>
        <item x="83"/>
        <item x="157"/>
        <item x="118"/>
        <item x="34"/>
        <item x="228"/>
        <item x="59"/>
        <item x="188"/>
        <item x="73"/>
        <item x="184"/>
        <item x="221"/>
        <item x="246"/>
        <item x="223"/>
        <item x="111"/>
        <item x="29"/>
        <item x="247"/>
        <item x="8"/>
        <item x="33"/>
        <item x="86"/>
        <item x="167"/>
        <item x="122"/>
        <item x="187"/>
        <item x="142"/>
        <item x="57"/>
        <item x="89"/>
        <item x="169"/>
        <item x="137"/>
        <item x="16"/>
        <item x="226"/>
        <item x="119"/>
        <item x="183"/>
        <item x="243"/>
        <item x="203"/>
        <item x="149"/>
        <item x="242"/>
        <item x="174"/>
        <item x="53"/>
        <item x="74"/>
        <item x="80"/>
        <item x="212"/>
        <item x="81"/>
        <item x="105"/>
        <item x="191"/>
        <item x="49"/>
        <item x="37"/>
        <item x="215"/>
        <item x="165"/>
        <item x="96"/>
        <item x="62"/>
        <item x="156"/>
        <item x="14"/>
        <item x="95"/>
        <item x="10"/>
        <item x="206"/>
        <item x="39"/>
        <item x="17"/>
        <item x="170"/>
        <item x="112"/>
        <item x="178"/>
        <item x="131"/>
        <item x="179"/>
        <item x="125"/>
        <item x="134"/>
        <item x="97"/>
        <item x="65"/>
        <item x="35"/>
        <item x="7"/>
        <item x="38"/>
        <item x="107"/>
        <item x="77"/>
        <item x="193"/>
        <item x="68"/>
        <item x="141"/>
        <item x="231"/>
        <item x="145"/>
        <item x="72"/>
        <item x="102"/>
        <item x="220"/>
        <item x="99"/>
        <item x="232"/>
        <item x="19"/>
        <item x="121"/>
        <item x="82"/>
        <item x="194"/>
        <item x="208"/>
        <item x="11"/>
        <item x="115"/>
        <item x="26"/>
        <item x="44"/>
        <item x="48"/>
        <item x="154"/>
        <item x="103"/>
        <item x="56"/>
        <item x="15"/>
        <item x="132"/>
        <item x="209"/>
        <item x="9"/>
        <item x="140"/>
        <item x="101"/>
        <item x="113"/>
        <item x="12"/>
        <item x="22"/>
        <item x="217"/>
        <item x="172"/>
        <item x="213"/>
        <item x="100"/>
        <item x="197"/>
        <item x="63"/>
        <item x="66"/>
        <item x="158"/>
        <item x="21"/>
        <item x="87"/>
        <item x="236"/>
        <item x="181"/>
        <item x="106"/>
        <item x="241"/>
        <item x="205"/>
        <item x="40"/>
        <item x="210"/>
        <item x="36"/>
        <item x="214"/>
        <item x="45"/>
        <item x="61"/>
        <item x="201"/>
        <item x="189"/>
        <item x="108"/>
        <item x="244"/>
        <item x="207"/>
        <item x="6"/>
        <item x="31"/>
        <item x="124"/>
        <item x="3"/>
        <item x="98"/>
        <item x="161"/>
        <item x="175"/>
        <item x="54"/>
        <item x="146"/>
        <item x="225"/>
        <item x="153"/>
        <item x="195"/>
        <item x="64"/>
        <item x="92"/>
        <item x="43"/>
        <item x="67"/>
        <item x="216"/>
        <item x="90"/>
        <item x="160"/>
        <item x="94"/>
        <item x="202"/>
        <item x="1"/>
        <item x="52"/>
        <item x="159"/>
        <item x="116"/>
        <item x="42"/>
        <item x="69"/>
        <item x="133"/>
        <item x="190"/>
        <item x="135"/>
        <item x="84"/>
        <item x="128"/>
        <item x="46"/>
        <item x="177"/>
        <item x="30"/>
        <item x="147"/>
        <item x="47"/>
        <item x="126"/>
        <item x="180"/>
        <item x="117"/>
        <item x="136"/>
        <item x="198"/>
        <item x="200"/>
        <item x="144"/>
        <item x="143"/>
        <item x="114"/>
        <item x="168"/>
        <item x="155"/>
        <item x="151"/>
        <item x="130"/>
        <item x="27"/>
        <item x="139"/>
        <item x="129"/>
        <item x="150"/>
        <item x="224"/>
        <item x="162"/>
        <item x="199"/>
        <item x="164"/>
        <item x="75"/>
        <item x="148"/>
        <item x="23"/>
        <item x="127"/>
        <item t="default"/>
      </items>
    </pivotField>
    <pivotField compact="0" showAll="0">
      <items count="149">
        <item x="53"/>
        <item x="67"/>
        <item x="101"/>
        <item x="84"/>
        <item x="98"/>
        <item x="51"/>
        <item x="104"/>
        <item x="108"/>
        <item x="144"/>
        <item x="110"/>
        <item x="37"/>
        <item x="34"/>
        <item x="76"/>
        <item x="137"/>
        <item x="18"/>
        <item x="7"/>
        <item x="31"/>
        <item x="125"/>
        <item x="138"/>
        <item x="63"/>
        <item x="30"/>
        <item x="118"/>
        <item x="95"/>
        <item x="13"/>
        <item x="133"/>
        <item x="11"/>
        <item x="70"/>
        <item x="85"/>
        <item x="93"/>
        <item x="94"/>
        <item x="35"/>
        <item x="103"/>
        <item x="146"/>
        <item x="52"/>
        <item x="117"/>
        <item x="109"/>
        <item x="115"/>
        <item x="59"/>
        <item x="22"/>
        <item x="139"/>
        <item x="114"/>
        <item x="91"/>
        <item x="44"/>
        <item x="9"/>
        <item x="88"/>
        <item x="36"/>
        <item x="135"/>
        <item x="26"/>
        <item x="46"/>
        <item x="73"/>
        <item x="99"/>
        <item x="5"/>
        <item x="77"/>
        <item x="55"/>
        <item x="21"/>
        <item x="78"/>
        <item x="49"/>
        <item x="2"/>
        <item x="64"/>
        <item x="47"/>
        <item x="113"/>
        <item x="68"/>
        <item x="147"/>
        <item x="28"/>
        <item x="54"/>
        <item x="8"/>
        <item x="86"/>
        <item x="62"/>
        <item x="123"/>
        <item x="127"/>
        <item x="141"/>
        <item x="32"/>
        <item x="145"/>
        <item x="12"/>
        <item x="58"/>
        <item x="120"/>
        <item x="56"/>
        <item x="100"/>
        <item x="60"/>
        <item x="97"/>
        <item x="41"/>
        <item x="72"/>
        <item x="14"/>
        <item x="1"/>
        <item x="96"/>
        <item x="43"/>
        <item x="122"/>
        <item x="65"/>
        <item x="79"/>
        <item x="40"/>
        <item x="92"/>
        <item x="48"/>
        <item x="19"/>
        <item x="130"/>
        <item x="39"/>
        <item x="136"/>
        <item x="105"/>
        <item x="87"/>
        <item x="81"/>
        <item x="20"/>
        <item x="142"/>
        <item x="128"/>
        <item x="10"/>
        <item x="42"/>
        <item x="38"/>
        <item x="69"/>
        <item x="126"/>
        <item x="90"/>
        <item x="25"/>
        <item x="111"/>
        <item x="116"/>
        <item x="106"/>
        <item x="6"/>
        <item x="134"/>
        <item x="50"/>
        <item x="107"/>
        <item x="74"/>
        <item x="23"/>
        <item x="82"/>
        <item x="129"/>
        <item x="143"/>
        <item x="121"/>
        <item x="89"/>
        <item x="17"/>
        <item x="29"/>
        <item x="61"/>
        <item x="57"/>
        <item x="80"/>
        <item x="66"/>
        <item x="75"/>
        <item x="3"/>
        <item x="140"/>
        <item x="71"/>
        <item x="112"/>
        <item x="83"/>
        <item x="45"/>
        <item x="102"/>
        <item x="131"/>
        <item x="124"/>
        <item x="24"/>
        <item x="119"/>
        <item x="16"/>
        <item x="27"/>
        <item x="15"/>
        <item x="132"/>
        <item x="33"/>
        <item x="4"/>
        <item x="0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90">
        <item x="86"/>
        <item x="84"/>
        <item x="77"/>
        <item x="38"/>
        <item x="70"/>
        <item x="58"/>
        <item x="6"/>
        <item x="25"/>
        <item x="9"/>
        <item x="31"/>
        <item x="83"/>
        <item x="26"/>
        <item x="18"/>
        <item x="52"/>
        <item x="73"/>
        <item x="32"/>
        <item x="51"/>
        <item x="75"/>
        <item x="8"/>
        <item x="48"/>
        <item x="16"/>
        <item x="36"/>
        <item x="34"/>
        <item x="24"/>
        <item x="19"/>
        <item x="11"/>
        <item x="64"/>
        <item x="23"/>
        <item x="0"/>
        <item x="41"/>
        <item x="69"/>
        <item x="42"/>
        <item x="82"/>
        <item x="37"/>
        <item x="2"/>
        <item x="7"/>
        <item x="17"/>
        <item x="30"/>
        <item x="28"/>
        <item x="4"/>
        <item x="39"/>
        <item x="85"/>
        <item x="14"/>
        <item x="35"/>
        <item x="50"/>
        <item x="40"/>
        <item x="15"/>
        <item x="87"/>
        <item x="3"/>
        <item x="62"/>
        <item x="53"/>
        <item x="46"/>
        <item x="1"/>
        <item x="12"/>
        <item x="20"/>
        <item x="56"/>
        <item x="66"/>
        <item x="22"/>
        <item x="71"/>
        <item x="57"/>
        <item x="33"/>
        <item x="63"/>
        <item x="43"/>
        <item x="47"/>
        <item x="76"/>
        <item x="27"/>
        <item x="61"/>
        <item x="54"/>
        <item x="67"/>
        <item x="78"/>
        <item x="5"/>
        <item x="13"/>
        <item x="55"/>
        <item x="60"/>
        <item x="79"/>
        <item x="10"/>
        <item x="44"/>
        <item x="72"/>
        <item x="59"/>
        <item x="65"/>
        <item x="68"/>
        <item x="74"/>
        <item x="29"/>
        <item x="21"/>
        <item x="81"/>
        <item x="49"/>
        <item x="45"/>
        <item x="88"/>
        <item x="80"/>
        <item t="default"/>
      </items>
    </pivotField>
  </pivotFields>
  <rowFields count="1">
    <field x="5"/>
  </rowFields>
  <rowItems count="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PassengerId" fld="0" subtotal="count" baseField="0" baseItem="0"/>
  </dataFields>
  <formats count="89">
    <format dxfId="0">
      <pivotArea dataOnly="0" labelOnly="1" fieldPosition="0">
        <references count="1">
          <reference field="5" count="1">
            <x v="0"/>
          </reference>
        </references>
      </pivotArea>
    </format>
    <format dxfId="1">
      <pivotArea dataOnly="0" labelOnly="1" fieldPosition="0">
        <references count="1">
          <reference field="5" count="1">
            <x v="1"/>
          </reference>
        </references>
      </pivotArea>
    </format>
    <format dxfId="2">
      <pivotArea dataOnly="0" labelOnly="1" fieldPosition="0">
        <references count="1">
          <reference field="5" count="1">
            <x v="2"/>
          </reference>
        </references>
      </pivotArea>
    </format>
    <format dxfId="3">
      <pivotArea dataOnly="0" labelOnly="1" fieldPosition="0">
        <references count="1">
          <reference field="5" count="1">
            <x v="3"/>
          </reference>
        </references>
      </pivotArea>
    </format>
    <format dxfId="4">
      <pivotArea dataOnly="0" labelOnly="1" fieldPosition="0">
        <references count="1">
          <reference field="5" count="1">
            <x v="4"/>
          </reference>
        </references>
      </pivotArea>
    </format>
    <format dxfId="5">
      <pivotArea dataOnly="0" labelOnly="1" fieldPosition="0">
        <references count="1">
          <reference field="5" count="1">
            <x v="5"/>
          </reference>
        </references>
      </pivotArea>
    </format>
    <format dxfId="6">
      <pivotArea dataOnly="0" labelOnly="1" fieldPosition="0">
        <references count="1">
          <reference field="5" count="1">
            <x v="6"/>
          </reference>
        </references>
      </pivotArea>
    </format>
    <format dxfId="7">
      <pivotArea dataOnly="0" labelOnly="1" fieldPosition="0">
        <references count="1">
          <reference field="5" count="1">
            <x v="7"/>
          </reference>
        </references>
      </pivotArea>
    </format>
    <format dxfId="8">
      <pivotArea dataOnly="0" labelOnly="1" fieldPosition="0">
        <references count="1">
          <reference field="5" count="1">
            <x v="8"/>
          </reference>
        </references>
      </pivotArea>
    </format>
    <format dxfId="9">
      <pivotArea dataOnly="0" labelOnly="1" fieldPosition="0">
        <references count="1">
          <reference field="5" count="1">
            <x v="9"/>
          </reference>
        </references>
      </pivotArea>
    </format>
    <format dxfId="10">
      <pivotArea dataOnly="0" labelOnly="1" fieldPosition="0">
        <references count="1">
          <reference field="5" count="1">
            <x v="10"/>
          </reference>
        </references>
      </pivotArea>
    </format>
    <format dxfId="11">
      <pivotArea dataOnly="0" labelOnly="1" fieldPosition="0">
        <references count="1">
          <reference field="5" count="1">
            <x v="11"/>
          </reference>
        </references>
      </pivotArea>
    </format>
    <format dxfId="12">
      <pivotArea dataOnly="0" labelOnly="1" fieldPosition="0">
        <references count="1">
          <reference field="5" count="1">
            <x v="12"/>
          </reference>
        </references>
      </pivotArea>
    </format>
    <format dxfId="13">
      <pivotArea dataOnly="0" labelOnly="1" fieldPosition="0">
        <references count="1">
          <reference field="5" count="1">
            <x v="13"/>
          </reference>
        </references>
      </pivotArea>
    </format>
    <format dxfId="14">
      <pivotArea dataOnly="0" labelOnly="1" fieldPosition="0">
        <references count="1">
          <reference field="5" count="1">
            <x v="14"/>
          </reference>
        </references>
      </pivotArea>
    </format>
    <format dxfId="15">
      <pivotArea dataOnly="0" labelOnly="1" fieldPosition="0">
        <references count="1">
          <reference field="5" count="1">
            <x v="15"/>
          </reference>
        </references>
      </pivotArea>
    </format>
    <format dxfId="16">
      <pivotArea dataOnly="0" labelOnly="1" fieldPosition="0">
        <references count="1">
          <reference field="5" count="1">
            <x v="16"/>
          </reference>
        </references>
      </pivotArea>
    </format>
    <format dxfId="17">
      <pivotArea dataOnly="0" labelOnly="1" fieldPosition="0">
        <references count="1">
          <reference field="5" count="1">
            <x v="17"/>
          </reference>
        </references>
      </pivotArea>
    </format>
    <format dxfId="18">
      <pivotArea dataOnly="0" labelOnly="1" fieldPosition="0">
        <references count="1">
          <reference field="5" count="1">
            <x v="18"/>
          </reference>
        </references>
      </pivotArea>
    </format>
    <format dxfId="19">
      <pivotArea dataOnly="0" labelOnly="1" fieldPosition="0">
        <references count="1">
          <reference field="5" count="1">
            <x v="19"/>
          </reference>
        </references>
      </pivotArea>
    </format>
    <format dxfId="20">
      <pivotArea dataOnly="0" labelOnly="1" fieldPosition="0">
        <references count="1">
          <reference field="5" count="1">
            <x v="20"/>
          </reference>
        </references>
      </pivotArea>
    </format>
    <format dxfId="21">
      <pivotArea dataOnly="0" labelOnly="1" fieldPosition="0">
        <references count="1">
          <reference field="5" count="1">
            <x v="21"/>
          </reference>
        </references>
      </pivotArea>
    </format>
    <format dxfId="22">
      <pivotArea dataOnly="0" labelOnly="1" fieldPosition="0">
        <references count="1">
          <reference field="5" count="1">
            <x v="22"/>
          </reference>
        </references>
      </pivotArea>
    </format>
    <format dxfId="23">
      <pivotArea dataOnly="0" labelOnly="1" fieldPosition="0">
        <references count="1">
          <reference field="5" count="1">
            <x v="23"/>
          </reference>
        </references>
      </pivotArea>
    </format>
    <format dxfId="24">
      <pivotArea dataOnly="0" labelOnly="1" fieldPosition="0">
        <references count="1">
          <reference field="5" count="1">
            <x v="24"/>
          </reference>
        </references>
      </pivotArea>
    </format>
    <format dxfId="25">
      <pivotArea dataOnly="0" labelOnly="1" fieldPosition="0">
        <references count="1">
          <reference field="5" count="1">
            <x v="25"/>
          </reference>
        </references>
      </pivotArea>
    </format>
    <format dxfId="26">
      <pivotArea dataOnly="0" labelOnly="1" fieldPosition="0">
        <references count="1">
          <reference field="5" count="1">
            <x v="26"/>
          </reference>
        </references>
      </pivotArea>
    </format>
    <format dxfId="27">
      <pivotArea dataOnly="0" labelOnly="1" fieldPosition="0">
        <references count="1">
          <reference field="5" count="1">
            <x v="27"/>
          </reference>
        </references>
      </pivotArea>
    </format>
    <format dxfId="28">
      <pivotArea dataOnly="0" labelOnly="1" fieldPosition="0">
        <references count="1">
          <reference field="5" count="1">
            <x v="28"/>
          </reference>
        </references>
      </pivotArea>
    </format>
    <format dxfId="29">
      <pivotArea dataOnly="0" labelOnly="1" fieldPosition="0">
        <references count="1">
          <reference field="5" count="1">
            <x v="29"/>
          </reference>
        </references>
      </pivotArea>
    </format>
    <format dxfId="30">
      <pivotArea dataOnly="0" labelOnly="1" fieldPosition="0">
        <references count="1">
          <reference field="5" count="1">
            <x v="30"/>
          </reference>
        </references>
      </pivotArea>
    </format>
    <format dxfId="31">
      <pivotArea dataOnly="0" labelOnly="1" fieldPosition="0">
        <references count="1">
          <reference field="5" count="1">
            <x v="31"/>
          </reference>
        </references>
      </pivotArea>
    </format>
    <format dxfId="32">
      <pivotArea dataOnly="0" labelOnly="1" fieldPosition="0">
        <references count="1">
          <reference field="5" count="1">
            <x v="32"/>
          </reference>
        </references>
      </pivotArea>
    </format>
    <format dxfId="33">
      <pivotArea dataOnly="0" labelOnly="1" fieldPosition="0">
        <references count="1">
          <reference field="5" count="1">
            <x v="33"/>
          </reference>
        </references>
      </pivotArea>
    </format>
    <format dxfId="34">
      <pivotArea dataOnly="0" labelOnly="1" fieldPosition="0">
        <references count="1">
          <reference field="5" count="1">
            <x v="34"/>
          </reference>
        </references>
      </pivotArea>
    </format>
    <format dxfId="35">
      <pivotArea dataOnly="0" labelOnly="1" fieldPosition="0">
        <references count="1">
          <reference field="5" count="1">
            <x v="35"/>
          </reference>
        </references>
      </pivotArea>
    </format>
    <format dxfId="36">
      <pivotArea dataOnly="0" labelOnly="1" fieldPosition="0">
        <references count="1">
          <reference field="5" count="1">
            <x v="36"/>
          </reference>
        </references>
      </pivotArea>
    </format>
    <format dxfId="37">
      <pivotArea dataOnly="0" labelOnly="1" fieldPosition="0">
        <references count="1">
          <reference field="5" count="1">
            <x v="37"/>
          </reference>
        </references>
      </pivotArea>
    </format>
    <format dxfId="38">
      <pivotArea dataOnly="0" labelOnly="1" fieldPosition="0">
        <references count="1">
          <reference field="5" count="1">
            <x v="38"/>
          </reference>
        </references>
      </pivotArea>
    </format>
    <format dxfId="39">
      <pivotArea dataOnly="0" labelOnly="1" fieldPosition="0">
        <references count="1">
          <reference field="5" count="1">
            <x v="39"/>
          </reference>
        </references>
      </pivotArea>
    </format>
    <format dxfId="40">
      <pivotArea dataOnly="0" labelOnly="1" fieldPosition="0">
        <references count="1">
          <reference field="5" count="1">
            <x v="40"/>
          </reference>
        </references>
      </pivotArea>
    </format>
    <format dxfId="41">
      <pivotArea dataOnly="0" labelOnly="1" fieldPosition="0">
        <references count="1">
          <reference field="5" count="1">
            <x v="41"/>
          </reference>
        </references>
      </pivotArea>
    </format>
    <format dxfId="42">
      <pivotArea dataOnly="0" labelOnly="1" fieldPosition="0">
        <references count="1">
          <reference field="5" count="1">
            <x v="42"/>
          </reference>
        </references>
      </pivotArea>
    </format>
    <format dxfId="43">
      <pivotArea dataOnly="0" labelOnly="1" fieldPosition="0">
        <references count="1">
          <reference field="5" count="1">
            <x v="43"/>
          </reference>
        </references>
      </pivotArea>
    </format>
    <format dxfId="44">
      <pivotArea dataOnly="0" labelOnly="1" fieldPosition="0">
        <references count="1">
          <reference field="5" count="1">
            <x v="44"/>
          </reference>
        </references>
      </pivotArea>
    </format>
    <format dxfId="45">
      <pivotArea dataOnly="0" labelOnly="1" fieldPosition="0">
        <references count="1">
          <reference field="5" count="1">
            <x v="45"/>
          </reference>
        </references>
      </pivotArea>
    </format>
    <format dxfId="46">
      <pivotArea dataOnly="0" labelOnly="1" fieldPosition="0">
        <references count="1">
          <reference field="5" count="1">
            <x v="46"/>
          </reference>
        </references>
      </pivotArea>
    </format>
    <format dxfId="47">
      <pivotArea dataOnly="0" labelOnly="1" fieldPosition="0">
        <references count="1">
          <reference field="5" count="1">
            <x v="47"/>
          </reference>
        </references>
      </pivotArea>
    </format>
    <format dxfId="48">
      <pivotArea dataOnly="0" labelOnly="1" fieldPosition="0">
        <references count="1">
          <reference field="5" count="1">
            <x v="48"/>
          </reference>
        </references>
      </pivotArea>
    </format>
    <format dxfId="49">
      <pivotArea dataOnly="0" labelOnly="1" fieldPosition="0">
        <references count="1">
          <reference field="5" count="1">
            <x v="49"/>
          </reference>
        </references>
      </pivotArea>
    </format>
    <format dxfId="50">
      <pivotArea dataOnly="0" labelOnly="1" fieldPosition="0">
        <references count="1">
          <reference field="5" count="1">
            <x v="50"/>
          </reference>
        </references>
      </pivotArea>
    </format>
    <format dxfId="51">
      <pivotArea dataOnly="0" labelOnly="1" fieldPosition="0">
        <references count="1">
          <reference field="5" count="1">
            <x v="51"/>
          </reference>
        </references>
      </pivotArea>
    </format>
    <format dxfId="52">
      <pivotArea dataOnly="0" labelOnly="1" fieldPosition="0">
        <references count="1">
          <reference field="5" count="1">
            <x v="52"/>
          </reference>
        </references>
      </pivotArea>
    </format>
    <format dxfId="53">
      <pivotArea dataOnly="0" labelOnly="1" fieldPosition="0">
        <references count="1">
          <reference field="5" count="1">
            <x v="53"/>
          </reference>
        </references>
      </pivotArea>
    </format>
    <format dxfId="54">
      <pivotArea dataOnly="0" labelOnly="1" fieldPosition="0">
        <references count="1">
          <reference field="5" count="1">
            <x v="54"/>
          </reference>
        </references>
      </pivotArea>
    </format>
    <format dxfId="55">
      <pivotArea dataOnly="0" labelOnly="1" fieldPosition="0">
        <references count="1">
          <reference field="5" count="1">
            <x v="55"/>
          </reference>
        </references>
      </pivotArea>
    </format>
    <format dxfId="56">
      <pivotArea dataOnly="0" labelOnly="1" fieldPosition="0">
        <references count="1">
          <reference field="5" count="1">
            <x v="56"/>
          </reference>
        </references>
      </pivotArea>
    </format>
    <format dxfId="57">
      <pivotArea dataOnly="0" labelOnly="1" fieldPosition="0">
        <references count="1">
          <reference field="5" count="1">
            <x v="57"/>
          </reference>
        </references>
      </pivotArea>
    </format>
    <format dxfId="58">
      <pivotArea dataOnly="0" labelOnly="1" fieldPosition="0">
        <references count="1">
          <reference field="5" count="1">
            <x v="58"/>
          </reference>
        </references>
      </pivotArea>
    </format>
    <format dxfId="59">
      <pivotArea dataOnly="0" labelOnly="1" fieldPosition="0">
        <references count="1">
          <reference field="5" count="1">
            <x v="59"/>
          </reference>
        </references>
      </pivotArea>
    </format>
    <format dxfId="60">
      <pivotArea dataOnly="0" labelOnly="1" fieldPosition="0">
        <references count="1">
          <reference field="5" count="1">
            <x v="60"/>
          </reference>
        </references>
      </pivotArea>
    </format>
    <format dxfId="61">
      <pivotArea dataOnly="0" labelOnly="1" fieldPosition="0">
        <references count="1">
          <reference field="5" count="1">
            <x v="61"/>
          </reference>
        </references>
      </pivotArea>
    </format>
    <format dxfId="62">
      <pivotArea dataOnly="0" labelOnly="1" fieldPosition="0">
        <references count="1">
          <reference field="5" count="1">
            <x v="62"/>
          </reference>
        </references>
      </pivotArea>
    </format>
    <format dxfId="63">
      <pivotArea dataOnly="0" labelOnly="1" fieldPosition="0">
        <references count="1">
          <reference field="5" count="1">
            <x v="63"/>
          </reference>
        </references>
      </pivotArea>
    </format>
    <format dxfId="64">
      <pivotArea dataOnly="0" labelOnly="1" fieldPosition="0">
        <references count="1">
          <reference field="5" count="1">
            <x v="64"/>
          </reference>
        </references>
      </pivotArea>
    </format>
    <format dxfId="65">
      <pivotArea dataOnly="0" labelOnly="1" fieldPosition="0">
        <references count="1">
          <reference field="5" count="1">
            <x v="65"/>
          </reference>
        </references>
      </pivotArea>
    </format>
    <format dxfId="66">
      <pivotArea dataOnly="0" labelOnly="1" fieldPosition="0">
        <references count="1">
          <reference field="5" count="1">
            <x v="66"/>
          </reference>
        </references>
      </pivotArea>
    </format>
    <format dxfId="67">
      <pivotArea dataOnly="0" labelOnly="1" fieldPosition="0">
        <references count="1">
          <reference field="5" count="1">
            <x v="67"/>
          </reference>
        </references>
      </pivotArea>
    </format>
    <format dxfId="68">
      <pivotArea dataOnly="0" labelOnly="1" fieldPosition="0">
        <references count="1">
          <reference field="5" count="1">
            <x v="68"/>
          </reference>
        </references>
      </pivotArea>
    </format>
    <format dxfId="69">
      <pivotArea dataOnly="0" labelOnly="1" fieldPosition="0">
        <references count="1">
          <reference field="5" count="1">
            <x v="69"/>
          </reference>
        </references>
      </pivotArea>
    </format>
    <format dxfId="70">
      <pivotArea dataOnly="0" labelOnly="1" fieldPosition="0">
        <references count="1">
          <reference field="5" count="1">
            <x v="70"/>
          </reference>
        </references>
      </pivotArea>
    </format>
    <format dxfId="71">
      <pivotArea dataOnly="0" labelOnly="1" fieldPosition="0">
        <references count="1">
          <reference field="5" count="1">
            <x v="71"/>
          </reference>
        </references>
      </pivotArea>
    </format>
    <format dxfId="72">
      <pivotArea dataOnly="0" labelOnly="1" fieldPosition="0">
        <references count="1">
          <reference field="5" count="1">
            <x v="72"/>
          </reference>
        </references>
      </pivotArea>
    </format>
    <format dxfId="73">
      <pivotArea dataOnly="0" labelOnly="1" fieldPosition="0">
        <references count="1">
          <reference field="5" count="1">
            <x v="73"/>
          </reference>
        </references>
      </pivotArea>
    </format>
    <format dxfId="74">
      <pivotArea dataOnly="0" labelOnly="1" fieldPosition="0">
        <references count="1">
          <reference field="5" count="1">
            <x v="74"/>
          </reference>
        </references>
      </pivotArea>
    </format>
    <format dxfId="75">
      <pivotArea dataOnly="0" labelOnly="1" fieldPosition="0">
        <references count="1">
          <reference field="5" count="1">
            <x v="75"/>
          </reference>
        </references>
      </pivotArea>
    </format>
    <format dxfId="76">
      <pivotArea dataOnly="0" labelOnly="1" fieldPosition="0">
        <references count="1">
          <reference field="5" count="1">
            <x v="76"/>
          </reference>
        </references>
      </pivotArea>
    </format>
    <format dxfId="77">
      <pivotArea dataOnly="0" labelOnly="1" fieldPosition="0">
        <references count="1">
          <reference field="5" count="1">
            <x v="77"/>
          </reference>
        </references>
      </pivotArea>
    </format>
    <format dxfId="78">
      <pivotArea dataOnly="0" labelOnly="1" fieldPosition="0">
        <references count="1">
          <reference field="5" count="1">
            <x v="78"/>
          </reference>
        </references>
      </pivotArea>
    </format>
    <format dxfId="79">
      <pivotArea dataOnly="0" labelOnly="1" fieldPosition="0">
        <references count="1">
          <reference field="5" count="1">
            <x v="79"/>
          </reference>
        </references>
      </pivotArea>
    </format>
    <format dxfId="80">
      <pivotArea dataOnly="0" labelOnly="1" fieldPosition="0">
        <references count="1">
          <reference field="5" count="1">
            <x v="80"/>
          </reference>
        </references>
      </pivotArea>
    </format>
    <format dxfId="81">
      <pivotArea dataOnly="0" labelOnly="1" fieldPosition="0">
        <references count="1">
          <reference field="5" count="1">
            <x v="81"/>
          </reference>
        </references>
      </pivotArea>
    </format>
    <format dxfId="82">
      <pivotArea dataOnly="0" labelOnly="1" fieldPosition="0">
        <references count="1">
          <reference field="5" count="1">
            <x v="82"/>
          </reference>
        </references>
      </pivotArea>
    </format>
    <format dxfId="83">
      <pivotArea dataOnly="0" labelOnly="1" fieldPosition="0">
        <references count="1">
          <reference field="5" count="1">
            <x v="83"/>
          </reference>
        </references>
      </pivotArea>
    </format>
    <format dxfId="84">
      <pivotArea dataOnly="0" labelOnly="1" fieldPosition="0">
        <references count="1">
          <reference field="5" count="1">
            <x v="84"/>
          </reference>
        </references>
      </pivotArea>
    </format>
    <format dxfId="85">
      <pivotArea dataOnly="0" labelOnly="1" fieldPosition="0">
        <references count="1">
          <reference field="5" count="1">
            <x v="85"/>
          </reference>
        </references>
      </pivotArea>
    </format>
    <format dxfId="86">
      <pivotArea dataOnly="0" labelOnly="1" fieldPosition="0">
        <references count="1">
          <reference field="5" count="1">
            <x v="86"/>
          </reference>
        </references>
      </pivotArea>
    </format>
    <format dxfId="87">
      <pivotArea dataOnly="0" labelOnly="1" fieldPosition="0">
        <references count="1">
          <reference field="5" count="1">
            <x v="87"/>
          </reference>
        </references>
      </pivotArea>
    </format>
    <format dxfId="88">
      <pivotArea dataOnly="0" labelOnly="1" fieldPosition="0">
        <references count="1">
          <reference field="5" count="1">
            <x v="88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ex" sourceName="Sex">
  <pivotTables>
    <pivotTable tabId="3" name="PivotTable2"/>
    <pivotTable tabId="3" name="PivotTable4"/>
    <pivotTable tabId="3" name="PivotTable5"/>
    <pivotTable tabId="3" name="PivotTable6"/>
    <pivotTable tabId="3" name="PivotTable7"/>
    <pivotTable tabId="3" name="PivotTable8"/>
    <pivotTable tabId="3" name="PivotTable9"/>
    <pivotTable tabId="3" name="PivotTable1"/>
  </pivotTables>
  <data>
    <tabular pivotCacheId="1">
      <items count="2">
        <i x="1" s="1"/>
        <i x="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class" sourceName="Pclass">
  <pivotTables>
    <pivotTable tabId="3" name="PivotTable7"/>
  </pivotTables>
  <data>
    <tabular pivotCacheId="1">
      <items count="3">
        <i x="1" s="1"/>
        <i x="2" s="1"/>
        <i x="0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urvived" sourceName="Survived">
  <pivotTables>
    <pivotTable tabId="3" name="PivotTable4"/>
  </pivotTables>
  <data>
    <tabular pivotCacheId="1">
      <items count="2">
        <i x="0" s="1"/>
        <i x="1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mbarked" sourceName="Embarked">
  <pivotTables>
    <pivotTable tabId="3" name="PivotTable7"/>
  </pivotTables>
  <data>
    <tabular pivotCacheId="1">
      <items count="4">
        <i x="1" s="1"/>
        <i x="2" s="1"/>
        <i x="0" s="1"/>
        <i x="3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rvived" cache="Slicer_Survived" caption="Survived" style="SlicerStyleOther2" rowHeight="193675"/>
  <slicer name="Pclass" cache="Slicer_Pclass" caption="Pclass" style="SlicerStyleOther2" rowHeight="193675"/>
  <slicer name="Sex" cache="Slicer_Sex" caption="Sex" style="SlicerStyleOther2" rowHeight="193675"/>
  <slicer name="Embarked" cache="Slicer_Embarked" caption="Embarked" style="SlicerStyleOther2" rowHeight="193675"/>
</slicers>
</file>

<file path=xl/tables/table1.xml><?xml version="1.0" encoding="utf-8"?>
<table xmlns="http://schemas.openxmlformats.org/spreadsheetml/2006/main" id="1" name="Table1" displayName="Table1" ref="A1:M892" totalsRowShown="0">
  <autoFilter xmlns:etc="http://www.wps.cn/officeDocument/2017/etCustomData" ref="A1:M892" etc:filterBottomFollowUsedRange="0"/>
  <tableColumns count="13">
    <tableColumn id="1" name="PassengerId" dataDxfId="89"/>
    <tableColumn id="2" name="Survived" dataDxfId="90"/>
    <tableColumn id="3" name="Pclass" dataDxfId="91"/>
    <tableColumn id="4" name="Name" dataDxfId="92"/>
    <tableColumn id="5" name="Sex" dataDxfId="93"/>
    <tableColumn id="6" name="Age" dataDxfId="94"/>
    <tableColumn id="7" name="SibSp" dataDxfId="95"/>
    <tableColumn id="8" name="Parch" dataDxfId="96"/>
    <tableColumn id="9" name="Ticket" dataDxfId="97"/>
    <tableColumn id="10" name="Fare" dataDxfId="98"/>
    <tableColumn id="11" name="Cabin" dataDxfId="99"/>
    <tableColumn id="12" name="Embarked" dataDxfId="100"/>
    <tableColumn id="13" name="Age_clean" dataDxfId="101">
      <calculatedColumnFormula>IF(F2="",AVERAGE($F$2:$F$892),F2)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drawing" Target="../drawings/drawing1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92"/>
  <sheetViews>
    <sheetView workbookViewId="0">
      <selection activeCell="U33" sqref="U33"/>
    </sheetView>
  </sheetViews>
  <sheetFormatPr defaultColWidth="9.14285714285714" defaultRowHeight="12.75"/>
  <sheetData>
    <row r="1" spans="1:12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 t="s">
        <v>8</v>
      </c>
      <c r="J1" s="47" t="s">
        <v>9</v>
      </c>
      <c r="K1" s="47" t="s">
        <v>10</v>
      </c>
      <c r="L1" s="47" t="s">
        <v>11</v>
      </c>
    </row>
    <row r="2" spans="1:12">
      <c r="A2" s="47">
        <v>1</v>
      </c>
      <c r="B2" s="47">
        <v>0</v>
      </c>
      <c r="C2" s="47">
        <v>3</v>
      </c>
      <c r="D2" s="47" t="s">
        <v>12</v>
      </c>
      <c r="E2" s="47" t="s">
        <v>13</v>
      </c>
      <c r="F2" s="47">
        <v>22</v>
      </c>
      <c r="G2" s="47">
        <v>1</v>
      </c>
      <c r="H2" s="47">
        <v>0</v>
      </c>
      <c r="I2" s="47" t="s">
        <v>14</v>
      </c>
      <c r="J2" s="47">
        <v>7.25</v>
      </c>
      <c r="L2" s="47" t="s">
        <v>15</v>
      </c>
    </row>
    <row r="3" spans="1:12">
      <c r="A3" s="47">
        <v>2</v>
      </c>
      <c r="B3" s="47">
        <v>1</v>
      </c>
      <c r="C3" s="47">
        <v>1</v>
      </c>
      <c r="D3" s="47" t="s">
        <v>16</v>
      </c>
      <c r="E3" s="47" t="s">
        <v>17</v>
      </c>
      <c r="F3" s="47">
        <v>38</v>
      </c>
      <c r="G3" s="47">
        <v>1</v>
      </c>
      <c r="H3" s="47">
        <v>0</v>
      </c>
      <c r="I3" s="47" t="s">
        <v>18</v>
      </c>
      <c r="J3" s="47">
        <v>71.2833</v>
      </c>
      <c r="K3" s="47" t="s">
        <v>19</v>
      </c>
      <c r="L3" s="47" t="s">
        <v>20</v>
      </c>
    </row>
    <row r="4" spans="1:12">
      <c r="A4" s="47">
        <v>3</v>
      </c>
      <c r="B4" s="47">
        <v>1</v>
      </c>
      <c r="C4" s="47">
        <v>3</v>
      </c>
      <c r="D4" s="47" t="s">
        <v>21</v>
      </c>
      <c r="E4" s="47" t="s">
        <v>17</v>
      </c>
      <c r="F4" s="47">
        <v>26</v>
      </c>
      <c r="G4" s="47">
        <v>0</v>
      </c>
      <c r="H4" s="47">
        <v>0</v>
      </c>
      <c r="I4" s="47" t="s">
        <v>22</v>
      </c>
      <c r="J4" s="47">
        <v>7.925</v>
      </c>
      <c r="L4" s="47" t="s">
        <v>15</v>
      </c>
    </row>
    <row r="5" spans="1:12">
      <c r="A5" s="47">
        <v>4</v>
      </c>
      <c r="B5" s="47">
        <v>1</v>
      </c>
      <c r="C5" s="47">
        <v>1</v>
      </c>
      <c r="D5" s="47" t="s">
        <v>23</v>
      </c>
      <c r="E5" s="47" t="s">
        <v>17</v>
      </c>
      <c r="F5" s="47">
        <v>35</v>
      </c>
      <c r="G5" s="47">
        <v>1</v>
      </c>
      <c r="H5" s="47">
        <v>0</v>
      </c>
      <c r="I5" s="47">
        <v>113803</v>
      </c>
      <c r="J5" s="47">
        <v>53.1</v>
      </c>
      <c r="K5" s="47" t="s">
        <v>24</v>
      </c>
      <c r="L5" s="47" t="s">
        <v>15</v>
      </c>
    </row>
    <row r="6" spans="1:12">
      <c r="A6" s="47">
        <v>5</v>
      </c>
      <c r="B6" s="47">
        <v>0</v>
      </c>
      <c r="C6" s="47">
        <v>3</v>
      </c>
      <c r="D6" s="47" t="s">
        <v>25</v>
      </c>
      <c r="E6" s="47" t="s">
        <v>13</v>
      </c>
      <c r="F6" s="47">
        <v>35</v>
      </c>
      <c r="G6" s="47">
        <v>0</v>
      </c>
      <c r="H6" s="47">
        <v>0</v>
      </c>
      <c r="I6" s="47">
        <v>373450</v>
      </c>
      <c r="J6" s="47">
        <v>8.05</v>
      </c>
      <c r="L6" s="47" t="s">
        <v>15</v>
      </c>
    </row>
    <row r="7" spans="1:12">
      <c r="A7" s="47">
        <v>6</v>
      </c>
      <c r="B7" s="47">
        <v>0</v>
      </c>
      <c r="C7" s="47">
        <v>3</v>
      </c>
      <c r="D7" s="47" t="s">
        <v>26</v>
      </c>
      <c r="E7" s="47" t="s">
        <v>13</v>
      </c>
      <c r="G7" s="47">
        <v>0</v>
      </c>
      <c r="H7" s="47">
        <v>0</v>
      </c>
      <c r="I7" s="47">
        <v>330877</v>
      </c>
      <c r="J7" s="47">
        <v>8.4583</v>
      </c>
      <c r="L7" s="47" t="s">
        <v>27</v>
      </c>
    </row>
    <row r="8" spans="1:12">
      <c r="A8" s="47">
        <v>7</v>
      </c>
      <c r="B8" s="47">
        <v>0</v>
      </c>
      <c r="C8" s="47">
        <v>1</v>
      </c>
      <c r="D8" s="47" t="s">
        <v>28</v>
      </c>
      <c r="E8" s="47" t="s">
        <v>13</v>
      </c>
      <c r="F8" s="47">
        <v>54</v>
      </c>
      <c r="G8" s="47">
        <v>0</v>
      </c>
      <c r="H8" s="47">
        <v>0</v>
      </c>
      <c r="I8" s="47">
        <v>17463</v>
      </c>
      <c r="J8" s="47">
        <v>51.8625</v>
      </c>
      <c r="K8" s="47" t="s">
        <v>29</v>
      </c>
      <c r="L8" s="47" t="s">
        <v>15</v>
      </c>
    </row>
    <row r="9" spans="1:12">
      <c r="A9" s="47">
        <v>8</v>
      </c>
      <c r="B9" s="47">
        <v>0</v>
      </c>
      <c r="C9" s="47">
        <v>3</v>
      </c>
      <c r="D9" s="47" t="s">
        <v>30</v>
      </c>
      <c r="E9" s="47" t="s">
        <v>13</v>
      </c>
      <c r="F9" s="47">
        <v>2</v>
      </c>
      <c r="G9" s="47">
        <v>3</v>
      </c>
      <c r="H9" s="47">
        <v>1</v>
      </c>
      <c r="I9" s="47">
        <v>349909</v>
      </c>
      <c r="J9" s="47">
        <v>21.075</v>
      </c>
      <c r="L9" s="47" t="s">
        <v>15</v>
      </c>
    </row>
    <row r="10" spans="1:12">
      <c r="A10" s="47">
        <v>9</v>
      </c>
      <c r="B10" s="47">
        <v>1</v>
      </c>
      <c r="C10" s="47">
        <v>3</v>
      </c>
      <c r="D10" s="47" t="s">
        <v>31</v>
      </c>
      <c r="E10" s="47" t="s">
        <v>17</v>
      </c>
      <c r="F10" s="47">
        <v>27</v>
      </c>
      <c r="G10" s="47">
        <v>0</v>
      </c>
      <c r="H10" s="47">
        <v>2</v>
      </c>
      <c r="I10" s="47">
        <v>347742</v>
      </c>
      <c r="J10" s="47">
        <v>11.1333</v>
      </c>
      <c r="L10" s="47" t="s">
        <v>15</v>
      </c>
    </row>
    <row r="11" spans="1:12">
      <c r="A11" s="47">
        <v>10</v>
      </c>
      <c r="B11" s="47">
        <v>1</v>
      </c>
      <c r="C11" s="47">
        <v>2</v>
      </c>
      <c r="D11" s="47" t="s">
        <v>32</v>
      </c>
      <c r="E11" s="47" t="s">
        <v>17</v>
      </c>
      <c r="F11" s="47">
        <v>14</v>
      </c>
      <c r="G11" s="47">
        <v>1</v>
      </c>
      <c r="H11" s="47">
        <v>0</v>
      </c>
      <c r="I11" s="47">
        <v>237736</v>
      </c>
      <c r="J11" s="47">
        <v>30.0708</v>
      </c>
      <c r="L11" s="47" t="s">
        <v>20</v>
      </c>
    </row>
    <row r="12" spans="1:12">
      <c r="A12" s="47">
        <v>11</v>
      </c>
      <c r="B12" s="47">
        <v>1</v>
      </c>
      <c r="C12" s="47">
        <v>3</v>
      </c>
      <c r="D12" s="47" t="s">
        <v>33</v>
      </c>
      <c r="E12" s="47" t="s">
        <v>17</v>
      </c>
      <c r="F12" s="47">
        <v>4</v>
      </c>
      <c r="G12" s="47">
        <v>1</v>
      </c>
      <c r="H12" s="47">
        <v>1</v>
      </c>
      <c r="I12" s="47" t="s">
        <v>34</v>
      </c>
      <c r="J12" s="47">
        <v>16.7</v>
      </c>
      <c r="K12" s="47" t="s">
        <v>35</v>
      </c>
      <c r="L12" s="47" t="s">
        <v>15</v>
      </c>
    </row>
    <row r="13" spans="1:12">
      <c r="A13" s="47">
        <v>12</v>
      </c>
      <c r="B13" s="47">
        <v>1</v>
      </c>
      <c r="C13" s="47">
        <v>1</v>
      </c>
      <c r="D13" s="47" t="s">
        <v>36</v>
      </c>
      <c r="E13" s="47" t="s">
        <v>17</v>
      </c>
      <c r="F13" s="47">
        <v>58</v>
      </c>
      <c r="G13" s="47">
        <v>0</v>
      </c>
      <c r="H13" s="47">
        <v>0</v>
      </c>
      <c r="I13" s="47">
        <v>113783</v>
      </c>
      <c r="J13" s="47">
        <v>26.55</v>
      </c>
      <c r="K13" s="47" t="s">
        <v>37</v>
      </c>
      <c r="L13" s="47" t="s">
        <v>15</v>
      </c>
    </row>
    <row r="14" spans="1:12">
      <c r="A14" s="47">
        <v>13</v>
      </c>
      <c r="B14" s="47">
        <v>0</v>
      </c>
      <c r="C14" s="47">
        <v>3</v>
      </c>
      <c r="D14" s="47" t="s">
        <v>38</v>
      </c>
      <c r="E14" s="47" t="s">
        <v>13</v>
      </c>
      <c r="F14" s="47">
        <v>20</v>
      </c>
      <c r="G14" s="47">
        <v>0</v>
      </c>
      <c r="H14" s="47">
        <v>0</v>
      </c>
      <c r="I14" s="47" t="s">
        <v>39</v>
      </c>
      <c r="J14" s="47">
        <v>8.05</v>
      </c>
      <c r="L14" s="47" t="s">
        <v>15</v>
      </c>
    </row>
    <row r="15" spans="1:12">
      <c r="A15" s="47">
        <v>14</v>
      </c>
      <c r="B15" s="47">
        <v>0</v>
      </c>
      <c r="C15" s="47">
        <v>3</v>
      </c>
      <c r="D15" s="47" t="s">
        <v>40</v>
      </c>
      <c r="E15" s="47" t="s">
        <v>13</v>
      </c>
      <c r="F15" s="47">
        <v>39</v>
      </c>
      <c r="G15" s="47">
        <v>1</v>
      </c>
      <c r="H15" s="47">
        <v>5</v>
      </c>
      <c r="I15" s="47">
        <v>347082</v>
      </c>
      <c r="J15" s="47">
        <v>31.275</v>
      </c>
      <c r="L15" s="47" t="s">
        <v>15</v>
      </c>
    </row>
    <row r="16" spans="1:12">
      <c r="A16" s="47">
        <v>15</v>
      </c>
      <c r="B16" s="47">
        <v>0</v>
      </c>
      <c r="C16" s="47">
        <v>3</v>
      </c>
      <c r="D16" s="47" t="s">
        <v>41</v>
      </c>
      <c r="E16" s="47" t="s">
        <v>17</v>
      </c>
      <c r="F16" s="47">
        <v>14</v>
      </c>
      <c r="G16" s="47">
        <v>0</v>
      </c>
      <c r="H16" s="47">
        <v>0</v>
      </c>
      <c r="I16" s="47">
        <v>350406</v>
      </c>
      <c r="J16" s="47">
        <v>7.8542</v>
      </c>
      <c r="L16" s="47" t="s">
        <v>15</v>
      </c>
    </row>
    <row r="17" spans="1:12">
      <c r="A17" s="47">
        <v>16</v>
      </c>
      <c r="B17" s="47">
        <v>1</v>
      </c>
      <c r="C17" s="47">
        <v>2</v>
      </c>
      <c r="D17" s="47" t="s">
        <v>42</v>
      </c>
      <c r="E17" s="47" t="s">
        <v>17</v>
      </c>
      <c r="F17" s="47">
        <v>55</v>
      </c>
      <c r="G17" s="47">
        <v>0</v>
      </c>
      <c r="H17" s="47">
        <v>0</v>
      </c>
      <c r="I17" s="47">
        <v>248706</v>
      </c>
      <c r="J17" s="47">
        <v>16</v>
      </c>
      <c r="L17" s="47" t="s">
        <v>15</v>
      </c>
    </row>
    <row r="18" spans="1:12">
      <c r="A18" s="47">
        <v>17</v>
      </c>
      <c r="B18" s="47">
        <v>0</v>
      </c>
      <c r="C18" s="47">
        <v>3</v>
      </c>
      <c r="D18" s="47" t="s">
        <v>43</v>
      </c>
      <c r="E18" s="47" t="s">
        <v>13</v>
      </c>
      <c r="F18" s="47">
        <v>2</v>
      </c>
      <c r="G18" s="47">
        <v>4</v>
      </c>
      <c r="H18" s="47">
        <v>1</v>
      </c>
      <c r="I18" s="47">
        <v>382652</v>
      </c>
      <c r="J18" s="47">
        <v>29.125</v>
      </c>
      <c r="L18" s="47" t="s">
        <v>27</v>
      </c>
    </row>
    <row r="19" spans="1:12">
      <c r="A19" s="47">
        <v>18</v>
      </c>
      <c r="B19" s="47">
        <v>1</v>
      </c>
      <c r="C19" s="47">
        <v>2</v>
      </c>
      <c r="D19" s="47" t="s">
        <v>44</v>
      </c>
      <c r="E19" s="47" t="s">
        <v>13</v>
      </c>
      <c r="G19" s="47">
        <v>0</v>
      </c>
      <c r="H19" s="47">
        <v>0</v>
      </c>
      <c r="I19" s="47">
        <v>244373</v>
      </c>
      <c r="J19" s="47">
        <v>13</v>
      </c>
      <c r="L19" s="47" t="s">
        <v>15</v>
      </c>
    </row>
    <row r="20" spans="1:12">
      <c r="A20" s="47">
        <v>19</v>
      </c>
      <c r="B20" s="47">
        <v>0</v>
      </c>
      <c r="C20" s="47">
        <v>3</v>
      </c>
      <c r="D20" s="47" t="s">
        <v>45</v>
      </c>
      <c r="E20" s="47" t="s">
        <v>17</v>
      </c>
      <c r="F20" s="47">
        <v>31</v>
      </c>
      <c r="G20" s="47">
        <v>1</v>
      </c>
      <c r="H20" s="47">
        <v>0</v>
      </c>
      <c r="I20" s="47">
        <v>345763</v>
      </c>
      <c r="J20" s="47">
        <v>18</v>
      </c>
      <c r="L20" s="47" t="s">
        <v>15</v>
      </c>
    </row>
    <row r="21" spans="1:12">
      <c r="A21" s="47">
        <v>20</v>
      </c>
      <c r="B21" s="47">
        <v>1</v>
      </c>
      <c r="C21" s="47">
        <v>3</v>
      </c>
      <c r="D21" s="47" t="s">
        <v>46</v>
      </c>
      <c r="E21" s="47" t="s">
        <v>17</v>
      </c>
      <c r="G21" s="47">
        <v>0</v>
      </c>
      <c r="H21" s="47">
        <v>0</v>
      </c>
      <c r="I21" s="47">
        <v>2649</v>
      </c>
      <c r="J21" s="47">
        <v>7.225</v>
      </c>
      <c r="L21" s="47" t="s">
        <v>20</v>
      </c>
    </row>
    <row r="22" spans="1:12">
      <c r="A22" s="47">
        <v>21</v>
      </c>
      <c r="B22" s="47">
        <v>0</v>
      </c>
      <c r="C22" s="47">
        <v>2</v>
      </c>
      <c r="D22" s="47" t="s">
        <v>47</v>
      </c>
      <c r="E22" s="47" t="s">
        <v>13</v>
      </c>
      <c r="F22" s="47">
        <v>35</v>
      </c>
      <c r="G22" s="47">
        <v>0</v>
      </c>
      <c r="H22" s="47">
        <v>0</v>
      </c>
      <c r="I22" s="47">
        <v>239865</v>
      </c>
      <c r="J22" s="47">
        <v>26</v>
      </c>
      <c r="L22" s="47" t="s">
        <v>15</v>
      </c>
    </row>
    <row r="23" spans="1:12">
      <c r="A23" s="47">
        <v>22</v>
      </c>
      <c r="B23" s="47">
        <v>1</v>
      </c>
      <c r="C23" s="47">
        <v>2</v>
      </c>
      <c r="D23" s="47" t="s">
        <v>48</v>
      </c>
      <c r="E23" s="47" t="s">
        <v>13</v>
      </c>
      <c r="F23" s="47">
        <v>34</v>
      </c>
      <c r="G23" s="47">
        <v>0</v>
      </c>
      <c r="H23" s="47">
        <v>0</v>
      </c>
      <c r="I23" s="47">
        <v>248698</v>
      </c>
      <c r="J23" s="47">
        <v>13</v>
      </c>
      <c r="K23" s="47" t="s">
        <v>49</v>
      </c>
      <c r="L23" s="47" t="s">
        <v>15</v>
      </c>
    </row>
    <row r="24" spans="1:12">
      <c r="A24" s="47">
        <v>23</v>
      </c>
      <c r="B24" s="47">
        <v>1</v>
      </c>
      <c r="C24" s="47">
        <v>3</v>
      </c>
      <c r="D24" s="47" t="s">
        <v>50</v>
      </c>
      <c r="E24" s="47" t="s">
        <v>17</v>
      </c>
      <c r="F24" s="47">
        <v>15</v>
      </c>
      <c r="G24" s="47">
        <v>0</v>
      </c>
      <c r="H24" s="47">
        <v>0</v>
      </c>
      <c r="I24" s="47">
        <v>330923</v>
      </c>
      <c r="J24" s="47">
        <v>8.0292</v>
      </c>
      <c r="L24" s="47" t="s">
        <v>27</v>
      </c>
    </row>
    <row r="25" spans="1:12">
      <c r="A25" s="47">
        <v>24</v>
      </c>
      <c r="B25" s="47">
        <v>1</v>
      </c>
      <c r="C25" s="47">
        <v>1</v>
      </c>
      <c r="D25" s="47" t="s">
        <v>51</v>
      </c>
      <c r="E25" s="47" t="s">
        <v>13</v>
      </c>
      <c r="F25" s="47">
        <v>28</v>
      </c>
      <c r="G25" s="47">
        <v>0</v>
      </c>
      <c r="H25" s="47">
        <v>0</v>
      </c>
      <c r="I25" s="47">
        <v>113788</v>
      </c>
      <c r="J25" s="47">
        <v>35.5</v>
      </c>
      <c r="K25" s="47" t="s">
        <v>52</v>
      </c>
      <c r="L25" s="47" t="s">
        <v>15</v>
      </c>
    </row>
    <row r="26" spans="1:12">
      <c r="A26" s="47">
        <v>25</v>
      </c>
      <c r="B26" s="47">
        <v>0</v>
      </c>
      <c r="C26" s="47">
        <v>3</v>
      </c>
      <c r="D26" s="47" t="s">
        <v>53</v>
      </c>
      <c r="E26" s="47" t="s">
        <v>17</v>
      </c>
      <c r="F26" s="47">
        <v>8</v>
      </c>
      <c r="G26" s="47">
        <v>3</v>
      </c>
      <c r="H26" s="47">
        <v>1</v>
      </c>
      <c r="I26" s="47">
        <v>349909</v>
      </c>
      <c r="J26" s="47">
        <v>21.075</v>
      </c>
      <c r="L26" s="47" t="s">
        <v>15</v>
      </c>
    </row>
    <row r="27" spans="1:12">
      <c r="A27" s="47">
        <v>26</v>
      </c>
      <c r="B27" s="47">
        <v>1</v>
      </c>
      <c r="C27" s="47">
        <v>3</v>
      </c>
      <c r="D27" s="47" t="s">
        <v>54</v>
      </c>
      <c r="E27" s="47" t="s">
        <v>17</v>
      </c>
      <c r="F27" s="47">
        <v>38</v>
      </c>
      <c r="G27" s="47">
        <v>1</v>
      </c>
      <c r="H27" s="47">
        <v>5</v>
      </c>
      <c r="I27" s="47">
        <v>347077</v>
      </c>
      <c r="J27" s="47">
        <v>31.3875</v>
      </c>
      <c r="L27" s="47" t="s">
        <v>15</v>
      </c>
    </row>
    <row r="28" spans="1:12">
      <c r="A28" s="47">
        <v>27</v>
      </c>
      <c r="B28" s="47">
        <v>0</v>
      </c>
      <c r="C28" s="47">
        <v>3</v>
      </c>
      <c r="D28" s="47" t="s">
        <v>55</v>
      </c>
      <c r="E28" s="47" t="s">
        <v>13</v>
      </c>
      <c r="G28" s="47">
        <v>0</v>
      </c>
      <c r="H28" s="47">
        <v>0</v>
      </c>
      <c r="I28" s="47">
        <v>2631</v>
      </c>
      <c r="J28" s="47">
        <v>7.225</v>
      </c>
      <c r="L28" s="47" t="s">
        <v>20</v>
      </c>
    </row>
    <row r="29" spans="1:12">
      <c r="A29" s="47">
        <v>28</v>
      </c>
      <c r="B29" s="47">
        <v>0</v>
      </c>
      <c r="C29" s="47">
        <v>1</v>
      </c>
      <c r="D29" s="47" t="s">
        <v>56</v>
      </c>
      <c r="E29" s="47" t="s">
        <v>13</v>
      </c>
      <c r="F29" s="47">
        <v>19</v>
      </c>
      <c r="G29" s="47">
        <v>3</v>
      </c>
      <c r="H29" s="47">
        <v>2</v>
      </c>
      <c r="I29" s="47">
        <v>19950</v>
      </c>
      <c r="J29" s="47">
        <v>263</v>
      </c>
      <c r="K29" s="47" t="s">
        <v>57</v>
      </c>
      <c r="L29" s="47" t="s">
        <v>15</v>
      </c>
    </row>
    <row r="30" spans="1:12">
      <c r="A30" s="47">
        <v>29</v>
      </c>
      <c r="B30" s="47">
        <v>1</v>
      </c>
      <c r="C30" s="47">
        <v>3</v>
      </c>
      <c r="D30" s="47" t="s">
        <v>58</v>
      </c>
      <c r="E30" s="47" t="s">
        <v>17</v>
      </c>
      <c r="G30" s="47">
        <v>0</v>
      </c>
      <c r="H30" s="47">
        <v>0</v>
      </c>
      <c r="I30" s="47">
        <v>330959</v>
      </c>
      <c r="J30" s="47">
        <v>7.8792</v>
      </c>
      <c r="L30" s="47" t="s">
        <v>27</v>
      </c>
    </row>
    <row r="31" spans="1:12">
      <c r="A31" s="47">
        <v>30</v>
      </c>
      <c r="B31" s="47">
        <v>0</v>
      </c>
      <c r="C31" s="47">
        <v>3</v>
      </c>
      <c r="D31" s="47" t="s">
        <v>59</v>
      </c>
      <c r="E31" s="47" t="s">
        <v>13</v>
      </c>
      <c r="G31" s="47">
        <v>0</v>
      </c>
      <c r="H31" s="47">
        <v>0</v>
      </c>
      <c r="I31" s="47">
        <v>349216</v>
      </c>
      <c r="J31" s="47">
        <v>7.8958</v>
      </c>
      <c r="L31" s="47" t="s">
        <v>15</v>
      </c>
    </row>
    <row r="32" spans="1:12">
      <c r="A32" s="47">
        <v>31</v>
      </c>
      <c r="B32" s="47">
        <v>0</v>
      </c>
      <c r="C32" s="47">
        <v>1</v>
      </c>
      <c r="D32" s="47" t="s">
        <v>60</v>
      </c>
      <c r="E32" s="47" t="s">
        <v>13</v>
      </c>
      <c r="F32" s="47">
        <v>40</v>
      </c>
      <c r="G32" s="47">
        <v>0</v>
      </c>
      <c r="H32" s="47">
        <v>0</v>
      </c>
      <c r="I32" s="47" t="s">
        <v>61</v>
      </c>
      <c r="J32" s="47">
        <v>27.7208</v>
      </c>
      <c r="L32" s="47" t="s">
        <v>20</v>
      </c>
    </row>
    <row r="33" spans="1:12">
      <c r="A33" s="47">
        <v>32</v>
      </c>
      <c r="B33" s="47">
        <v>1</v>
      </c>
      <c r="C33" s="47">
        <v>1</v>
      </c>
      <c r="D33" s="47" t="s">
        <v>62</v>
      </c>
      <c r="E33" s="47" t="s">
        <v>17</v>
      </c>
      <c r="G33" s="47">
        <v>1</v>
      </c>
      <c r="H33" s="47">
        <v>0</v>
      </c>
      <c r="I33" s="47" t="s">
        <v>63</v>
      </c>
      <c r="J33" s="47">
        <v>146.5208</v>
      </c>
      <c r="K33" s="47" t="s">
        <v>64</v>
      </c>
      <c r="L33" s="47" t="s">
        <v>20</v>
      </c>
    </row>
    <row r="34" spans="1:12">
      <c r="A34" s="47">
        <v>33</v>
      </c>
      <c r="B34" s="47">
        <v>1</v>
      </c>
      <c r="C34" s="47">
        <v>3</v>
      </c>
      <c r="D34" s="47" t="s">
        <v>65</v>
      </c>
      <c r="E34" s="47" t="s">
        <v>17</v>
      </c>
      <c r="G34" s="47">
        <v>0</v>
      </c>
      <c r="H34" s="47">
        <v>0</v>
      </c>
      <c r="I34" s="47">
        <v>335677</v>
      </c>
      <c r="J34" s="47">
        <v>7.75</v>
      </c>
      <c r="L34" s="47" t="s">
        <v>27</v>
      </c>
    </row>
    <row r="35" spans="1:12">
      <c r="A35" s="47">
        <v>34</v>
      </c>
      <c r="B35" s="47">
        <v>0</v>
      </c>
      <c r="C35" s="47">
        <v>2</v>
      </c>
      <c r="D35" s="47" t="s">
        <v>66</v>
      </c>
      <c r="E35" s="47" t="s">
        <v>13</v>
      </c>
      <c r="F35" s="47">
        <v>66</v>
      </c>
      <c r="G35" s="47">
        <v>0</v>
      </c>
      <c r="H35" s="47">
        <v>0</v>
      </c>
      <c r="I35" s="47" t="s">
        <v>67</v>
      </c>
      <c r="J35" s="47">
        <v>10.5</v>
      </c>
      <c r="L35" s="47" t="s">
        <v>15</v>
      </c>
    </row>
    <row r="36" spans="1:12">
      <c r="A36" s="47">
        <v>35</v>
      </c>
      <c r="B36" s="47">
        <v>0</v>
      </c>
      <c r="C36" s="47">
        <v>1</v>
      </c>
      <c r="D36" s="47" t="s">
        <v>68</v>
      </c>
      <c r="E36" s="47" t="s">
        <v>13</v>
      </c>
      <c r="F36" s="47">
        <v>28</v>
      </c>
      <c r="G36" s="47">
        <v>1</v>
      </c>
      <c r="H36" s="47">
        <v>0</v>
      </c>
      <c r="I36" s="47" t="s">
        <v>69</v>
      </c>
      <c r="J36" s="47">
        <v>82.1708</v>
      </c>
      <c r="L36" s="47" t="s">
        <v>20</v>
      </c>
    </row>
    <row r="37" spans="1:12">
      <c r="A37" s="47">
        <v>36</v>
      </c>
      <c r="B37" s="47">
        <v>0</v>
      </c>
      <c r="C37" s="47">
        <v>1</v>
      </c>
      <c r="D37" s="47" t="s">
        <v>70</v>
      </c>
      <c r="E37" s="47" t="s">
        <v>13</v>
      </c>
      <c r="F37" s="47">
        <v>42</v>
      </c>
      <c r="G37" s="47">
        <v>1</v>
      </c>
      <c r="H37" s="47">
        <v>0</v>
      </c>
      <c r="I37" s="47">
        <v>113789</v>
      </c>
      <c r="J37" s="47">
        <v>52</v>
      </c>
      <c r="L37" s="47" t="s">
        <v>15</v>
      </c>
    </row>
    <row r="38" spans="1:12">
      <c r="A38" s="47">
        <v>37</v>
      </c>
      <c r="B38" s="47">
        <v>1</v>
      </c>
      <c r="C38" s="47">
        <v>3</v>
      </c>
      <c r="D38" s="47" t="s">
        <v>71</v>
      </c>
      <c r="E38" s="47" t="s">
        <v>13</v>
      </c>
      <c r="G38" s="47">
        <v>0</v>
      </c>
      <c r="H38" s="47">
        <v>0</v>
      </c>
      <c r="I38" s="47">
        <v>2677</v>
      </c>
      <c r="J38" s="47">
        <v>7.2292</v>
      </c>
      <c r="L38" s="47" t="s">
        <v>20</v>
      </c>
    </row>
    <row r="39" spans="1:12">
      <c r="A39" s="47">
        <v>38</v>
      </c>
      <c r="B39" s="47">
        <v>0</v>
      </c>
      <c r="C39" s="47">
        <v>3</v>
      </c>
      <c r="D39" s="47" t="s">
        <v>72</v>
      </c>
      <c r="E39" s="47" t="s">
        <v>13</v>
      </c>
      <c r="F39" s="47">
        <v>21</v>
      </c>
      <c r="G39" s="47">
        <v>0</v>
      </c>
      <c r="H39" s="47">
        <v>0</v>
      </c>
      <c r="I39" s="47" t="s">
        <v>73</v>
      </c>
      <c r="J39" s="47">
        <v>8.05</v>
      </c>
      <c r="L39" s="47" t="s">
        <v>15</v>
      </c>
    </row>
    <row r="40" spans="1:12">
      <c r="A40" s="47">
        <v>39</v>
      </c>
      <c r="B40" s="47">
        <v>0</v>
      </c>
      <c r="C40" s="47">
        <v>3</v>
      </c>
      <c r="D40" s="47" t="s">
        <v>74</v>
      </c>
      <c r="E40" s="47" t="s">
        <v>17</v>
      </c>
      <c r="F40" s="47">
        <v>18</v>
      </c>
      <c r="G40" s="47">
        <v>2</v>
      </c>
      <c r="H40" s="47">
        <v>0</v>
      </c>
      <c r="I40" s="47">
        <v>345764</v>
      </c>
      <c r="J40" s="47">
        <v>18</v>
      </c>
      <c r="L40" s="47" t="s">
        <v>15</v>
      </c>
    </row>
    <row r="41" spans="1:12">
      <c r="A41" s="47">
        <v>40</v>
      </c>
      <c r="B41" s="47">
        <v>1</v>
      </c>
      <c r="C41" s="47">
        <v>3</v>
      </c>
      <c r="D41" s="47" t="s">
        <v>75</v>
      </c>
      <c r="E41" s="47" t="s">
        <v>17</v>
      </c>
      <c r="F41" s="47">
        <v>14</v>
      </c>
      <c r="G41" s="47">
        <v>1</v>
      </c>
      <c r="H41" s="47">
        <v>0</v>
      </c>
      <c r="I41" s="47">
        <v>2651</v>
      </c>
      <c r="J41" s="47">
        <v>11.2417</v>
      </c>
      <c r="L41" s="47" t="s">
        <v>20</v>
      </c>
    </row>
    <row r="42" spans="1:12">
      <c r="A42" s="47">
        <v>41</v>
      </c>
      <c r="B42" s="47">
        <v>0</v>
      </c>
      <c r="C42" s="47">
        <v>3</v>
      </c>
      <c r="D42" s="47" t="s">
        <v>76</v>
      </c>
      <c r="E42" s="47" t="s">
        <v>17</v>
      </c>
      <c r="F42" s="47">
        <v>40</v>
      </c>
      <c r="G42" s="47">
        <v>1</v>
      </c>
      <c r="H42" s="47">
        <v>0</v>
      </c>
      <c r="I42" s="47">
        <v>7546</v>
      </c>
      <c r="J42" s="47">
        <v>9.475</v>
      </c>
      <c r="L42" s="47" t="s">
        <v>15</v>
      </c>
    </row>
    <row r="43" spans="1:12">
      <c r="A43" s="47">
        <v>42</v>
      </c>
      <c r="B43" s="47">
        <v>0</v>
      </c>
      <c r="C43" s="47">
        <v>2</v>
      </c>
      <c r="D43" s="47" t="s">
        <v>77</v>
      </c>
      <c r="E43" s="47" t="s">
        <v>17</v>
      </c>
      <c r="F43" s="47">
        <v>27</v>
      </c>
      <c r="G43" s="47">
        <v>1</v>
      </c>
      <c r="H43" s="47">
        <v>0</v>
      </c>
      <c r="I43" s="47">
        <v>11668</v>
      </c>
      <c r="J43" s="47">
        <v>21</v>
      </c>
      <c r="L43" s="47" t="s">
        <v>15</v>
      </c>
    </row>
    <row r="44" spans="1:12">
      <c r="A44" s="47">
        <v>43</v>
      </c>
      <c r="B44" s="47">
        <v>0</v>
      </c>
      <c r="C44" s="47">
        <v>3</v>
      </c>
      <c r="D44" s="47" t="s">
        <v>78</v>
      </c>
      <c r="E44" s="47" t="s">
        <v>13</v>
      </c>
      <c r="G44" s="47">
        <v>0</v>
      </c>
      <c r="H44" s="47">
        <v>0</v>
      </c>
      <c r="I44" s="47">
        <v>349253</v>
      </c>
      <c r="J44" s="47">
        <v>7.8958</v>
      </c>
      <c r="L44" s="47" t="s">
        <v>20</v>
      </c>
    </row>
    <row r="45" spans="1:12">
      <c r="A45" s="47">
        <v>44</v>
      </c>
      <c r="B45" s="47">
        <v>1</v>
      </c>
      <c r="C45" s="47">
        <v>2</v>
      </c>
      <c r="D45" s="47" t="s">
        <v>79</v>
      </c>
      <c r="E45" s="47" t="s">
        <v>17</v>
      </c>
      <c r="F45" s="47">
        <v>3</v>
      </c>
      <c r="G45" s="47">
        <v>1</v>
      </c>
      <c r="H45" s="47">
        <v>2</v>
      </c>
      <c r="I45" s="47" t="s">
        <v>80</v>
      </c>
      <c r="J45" s="47">
        <v>41.5792</v>
      </c>
      <c r="L45" s="47" t="s">
        <v>20</v>
      </c>
    </row>
    <row r="46" spans="1:12">
      <c r="A46" s="47">
        <v>45</v>
      </c>
      <c r="B46" s="47">
        <v>1</v>
      </c>
      <c r="C46" s="47">
        <v>3</v>
      </c>
      <c r="D46" s="47" t="s">
        <v>81</v>
      </c>
      <c r="E46" s="47" t="s">
        <v>17</v>
      </c>
      <c r="F46" s="47">
        <v>19</v>
      </c>
      <c r="G46" s="47">
        <v>0</v>
      </c>
      <c r="H46" s="47">
        <v>0</v>
      </c>
      <c r="I46" s="47">
        <v>330958</v>
      </c>
      <c r="J46" s="47">
        <v>7.8792</v>
      </c>
      <c r="L46" s="47" t="s">
        <v>27</v>
      </c>
    </row>
    <row r="47" spans="1:12">
      <c r="A47" s="47">
        <v>46</v>
      </c>
      <c r="B47" s="47">
        <v>0</v>
      </c>
      <c r="C47" s="47">
        <v>3</v>
      </c>
      <c r="D47" s="47" t="s">
        <v>82</v>
      </c>
      <c r="E47" s="47" t="s">
        <v>13</v>
      </c>
      <c r="G47" s="47">
        <v>0</v>
      </c>
      <c r="H47" s="47">
        <v>0</v>
      </c>
      <c r="I47" s="47" t="s">
        <v>83</v>
      </c>
      <c r="J47" s="47">
        <v>8.05</v>
      </c>
      <c r="L47" s="47" t="s">
        <v>15</v>
      </c>
    </row>
    <row r="48" spans="1:12">
      <c r="A48" s="47">
        <v>47</v>
      </c>
      <c r="B48" s="47">
        <v>0</v>
      </c>
      <c r="C48" s="47">
        <v>3</v>
      </c>
      <c r="D48" s="47" t="s">
        <v>84</v>
      </c>
      <c r="E48" s="47" t="s">
        <v>13</v>
      </c>
      <c r="G48" s="47">
        <v>1</v>
      </c>
      <c r="H48" s="47">
        <v>0</v>
      </c>
      <c r="I48" s="47">
        <v>370371</v>
      </c>
      <c r="J48" s="47">
        <v>15.5</v>
      </c>
      <c r="L48" s="47" t="s">
        <v>27</v>
      </c>
    </row>
    <row r="49" spans="1:12">
      <c r="A49" s="47">
        <v>48</v>
      </c>
      <c r="B49" s="47">
        <v>1</v>
      </c>
      <c r="C49" s="47">
        <v>3</v>
      </c>
      <c r="D49" s="47" t="s">
        <v>85</v>
      </c>
      <c r="E49" s="47" t="s">
        <v>17</v>
      </c>
      <c r="G49" s="47">
        <v>0</v>
      </c>
      <c r="H49" s="47">
        <v>0</v>
      </c>
      <c r="I49" s="47">
        <v>14311</v>
      </c>
      <c r="J49" s="47">
        <v>7.75</v>
      </c>
      <c r="L49" s="47" t="s">
        <v>27</v>
      </c>
    </row>
    <row r="50" spans="1:12">
      <c r="A50" s="47">
        <v>49</v>
      </c>
      <c r="B50" s="47">
        <v>0</v>
      </c>
      <c r="C50" s="47">
        <v>3</v>
      </c>
      <c r="D50" s="47" t="s">
        <v>86</v>
      </c>
      <c r="E50" s="47" t="s">
        <v>13</v>
      </c>
      <c r="G50" s="47">
        <v>2</v>
      </c>
      <c r="H50" s="47">
        <v>0</v>
      </c>
      <c r="I50" s="47">
        <v>2662</v>
      </c>
      <c r="J50" s="47">
        <v>21.6792</v>
      </c>
      <c r="L50" s="47" t="s">
        <v>20</v>
      </c>
    </row>
    <row r="51" spans="1:12">
      <c r="A51" s="47">
        <v>50</v>
      </c>
      <c r="B51" s="47">
        <v>0</v>
      </c>
      <c r="C51" s="47">
        <v>3</v>
      </c>
      <c r="D51" s="47" t="s">
        <v>87</v>
      </c>
      <c r="E51" s="47" t="s">
        <v>17</v>
      </c>
      <c r="F51" s="47">
        <v>18</v>
      </c>
      <c r="G51" s="47">
        <v>1</v>
      </c>
      <c r="H51" s="47">
        <v>0</v>
      </c>
      <c r="I51" s="47">
        <v>349237</v>
      </c>
      <c r="J51" s="47">
        <v>17.8</v>
      </c>
      <c r="L51" s="47" t="s">
        <v>15</v>
      </c>
    </row>
    <row r="52" spans="1:12">
      <c r="A52" s="47">
        <v>51</v>
      </c>
      <c r="B52" s="47">
        <v>0</v>
      </c>
      <c r="C52" s="47">
        <v>3</v>
      </c>
      <c r="D52" s="47" t="s">
        <v>88</v>
      </c>
      <c r="E52" s="47" t="s">
        <v>13</v>
      </c>
      <c r="F52" s="47">
        <v>7</v>
      </c>
      <c r="G52" s="47">
        <v>4</v>
      </c>
      <c r="H52" s="47">
        <v>1</v>
      </c>
      <c r="I52" s="47">
        <v>3101295</v>
      </c>
      <c r="J52" s="47">
        <v>39.6875</v>
      </c>
      <c r="L52" s="47" t="s">
        <v>15</v>
      </c>
    </row>
    <row r="53" spans="1:12">
      <c r="A53" s="47">
        <v>52</v>
      </c>
      <c r="B53" s="47">
        <v>0</v>
      </c>
      <c r="C53" s="47">
        <v>3</v>
      </c>
      <c r="D53" s="47" t="s">
        <v>89</v>
      </c>
      <c r="E53" s="47" t="s">
        <v>13</v>
      </c>
      <c r="F53" s="47">
        <v>21</v>
      </c>
      <c r="G53" s="47">
        <v>0</v>
      </c>
      <c r="H53" s="47">
        <v>0</v>
      </c>
      <c r="I53" s="47" t="s">
        <v>90</v>
      </c>
      <c r="J53" s="47">
        <v>7.8</v>
      </c>
      <c r="L53" s="47" t="s">
        <v>15</v>
      </c>
    </row>
    <row r="54" spans="1:12">
      <c r="A54" s="47">
        <v>53</v>
      </c>
      <c r="B54" s="47">
        <v>1</v>
      </c>
      <c r="C54" s="47">
        <v>1</v>
      </c>
      <c r="D54" s="47" t="s">
        <v>91</v>
      </c>
      <c r="E54" s="47" t="s">
        <v>17</v>
      </c>
      <c r="F54" s="47">
        <v>49</v>
      </c>
      <c r="G54" s="47">
        <v>1</v>
      </c>
      <c r="H54" s="47">
        <v>0</v>
      </c>
      <c r="I54" s="47" t="s">
        <v>92</v>
      </c>
      <c r="J54" s="47">
        <v>76.7292</v>
      </c>
      <c r="K54" s="47" t="s">
        <v>93</v>
      </c>
      <c r="L54" s="47" t="s">
        <v>20</v>
      </c>
    </row>
    <row r="55" spans="1:12">
      <c r="A55" s="47">
        <v>54</v>
      </c>
      <c r="B55" s="47">
        <v>1</v>
      </c>
      <c r="C55" s="47">
        <v>2</v>
      </c>
      <c r="D55" s="47" t="s">
        <v>94</v>
      </c>
      <c r="E55" s="47" t="s">
        <v>17</v>
      </c>
      <c r="F55" s="47">
        <v>29</v>
      </c>
      <c r="G55" s="47">
        <v>1</v>
      </c>
      <c r="H55" s="47">
        <v>0</v>
      </c>
      <c r="I55" s="47">
        <v>2926</v>
      </c>
      <c r="J55" s="47">
        <v>26</v>
      </c>
      <c r="L55" s="47" t="s">
        <v>15</v>
      </c>
    </row>
    <row r="56" spans="1:12">
      <c r="A56" s="47">
        <v>55</v>
      </c>
      <c r="B56" s="47">
        <v>0</v>
      </c>
      <c r="C56" s="47">
        <v>1</v>
      </c>
      <c r="D56" s="47" t="s">
        <v>95</v>
      </c>
      <c r="E56" s="47" t="s">
        <v>13</v>
      </c>
      <c r="F56" s="47">
        <v>65</v>
      </c>
      <c r="G56" s="47">
        <v>0</v>
      </c>
      <c r="H56" s="47">
        <v>1</v>
      </c>
      <c r="I56" s="47">
        <v>113509</v>
      </c>
      <c r="J56" s="47">
        <v>61.9792</v>
      </c>
      <c r="K56" s="47" t="s">
        <v>96</v>
      </c>
      <c r="L56" s="47" t="s">
        <v>20</v>
      </c>
    </row>
    <row r="57" spans="1:12">
      <c r="A57" s="47">
        <v>56</v>
      </c>
      <c r="B57" s="47">
        <v>1</v>
      </c>
      <c r="C57" s="47">
        <v>1</v>
      </c>
      <c r="D57" s="47" t="s">
        <v>97</v>
      </c>
      <c r="E57" s="47" t="s">
        <v>13</v>
      </c>
      <c r="G57" s="47">
        <v>0</v>
      </c>
      <c r="H57" s="47">
        <v>0</v>
      </c>
      <c r="I57" s="47">
        <v>19947</v>
      </c>
      <c r="J57" s="47">
        <v>35.5</v>
      </c>
      <c r="K57" s="47" t="s">
        <v>98</v>
      </c>
      <c r="L57" s="47" t="s">
        <v>15</v>
      </c>
    </row>
    <row r="58" spans="1:12">
      <c r="A58" s="47">
        <v>57</v>
      </c>
      <c r="B58" s="47">
        <v>1</v>
      </c>
      <c r="C58" s="47">
        <v>2</v>
      </c>
      <c r="D58" s="47" t="s">
        <v>99</v>
      </c>
      <c r="E58" s="47" t="s">
        <v>17</v>
      </c>
      <c r="F58" s="47">
        <v>21</v>
      </c>
      <c r="G58" s="47">
        <v>0</v>
      </c>
      <c r="H58" s="47">
        <v>0</v>
      </c>
      <c r="I58" s="47" t="s">
        <v>100</v>
      </c>
      <c r="J58" s="47">
        <v>10.5</v>
      </c>
      <c r="L58" s="47" t="s">
        <v>15</v>
      </c>
    </row>
    <row r="59" spans="1:12">
      <c r="A59" s="47">
        <v>58</v>
      </c>
      <c r="B59" s="47">
        <v>0</v>
      </c>
      <c r="C59" s="47">
        <v>3</v>
      </c>
      <c r="D59" s="47" t="s">
        <v>101</v>
      </c>
      <c r="E59" s="47" t="s">
        <v>13</v>
      </c>
      <c r="F59" s="47">
        <v>28.5</v>
      </c>
      <c r="G59" s="47">
        <v>0</v>
      </c>
      <c r="H59" s="47">
        <v>0</v>
      </c>
      <c r="I59" s="47">
        <v>2697</v>
      </c>
      <c r="J59" s="47">
        <v>7.2292</v>
      </c>
      <c r="L59" s="47" t="s">
        <v>20</v>
      </c>
    </row>
    <row r="60" spans="1:12">
      <c r="A60" s="47">
        <v>59</v>
      </c>
      <c r="B60" s="47">
        <v>1</v>
      </c>
      <c r="C60" s="47">
        <v>2</v>
      </c>
      <c r="D60" s="47" t="s">
        <v>102</v>
      </c>
      <c r="E60" s="47" t="s">
        <v>17</v>
      </c>
      <c r="F60" s="47">
        <v>5</v>
      </c>
      <c r="G60" s="47">
        <v>1</v>
      </c>
      <c r="H60" s="47">
        <v>2</v>
      </c>
      <c r="I60" s="47" t="s">
        <v>103</v>
      </c>
      <c r="J60" s="47">
        <v>27.75</v>
      </c>
      <c r="L60" s="47" t="s">
        <v>15</v>
      </c>
    </row>
    <row r="61" spans="1:12">
      <c r="A61" s="47">
        <v>60</v>
      </c>
      <c r="B61" s="47">
        <v>0</v>
      </c>
      <c r="C61" s="47">
        <v>3</v>
      </c>
      <c r="D61" s="47" t="s">
        <v>104</v>
      </c>
      <c r="E61" s="47" t="s">
        <v>13</v>
      </c>
      <c r="F61" s="47">
        <v>11</v>
      </c>
      <c r="G61" s="47">
        <v>5</v>
      </c>
      <c r="H61" s="47">
        <v>2</v>
      </c>
      <c r="I61" s="47" t="s">
        <v>105</v>
      </c>
      <c r="J61" s="47">
        <v>46.9</v>
      </c>
      <c r="L61" s="47" t="s">
        <v>15</v>
      </c>
    </row>
    <row r="62" spans="1:12">
      <c r="A62" s="47">
        <v>61</v>
      </c>
      <c r="B62" s="47">
        <v>0</v>
      </c>
      <c r="C62" s="47">
        <v>3</v>
      </c>
      <c r="D62" s="47" t="s">
        <v>106</v>
      </c>
      <c r="E62" s="47" t="s">
        <v>13</v>
      </c>
      <c r="F62" s="47">
        <v>22</v>
      </c>
      <c r="G62" s="47">
        <v>0</v>
      </c>
      <c r="H62" s="47">
        <v>0</v>
      </c>
      <c r="I62" s="47">
        <v>2669</v>
      </c>
      <c r="J62" s="47">
        <v>7.2292</v>
      </c>
      <c r="L62" s="47" t="s">
        <v>20</v>
      </c>
    </row>
    <row r="63" spans="1:12">
      <c r="A63" s="47">
        <v>62</v>
      </c>
      <c r="B63" s="47">
        <v>1</v>
      </c>
      <c r="C63" s="47">
        <v>1</v>
      </c>
      <c r="D63" s="47" t="s">
        <v>107</v>
      </c>
      <c r="E63" s="47" t="s">
        <v>17</v>
      </c>
      <c r="F63" s="47">
        <v>38</v>
      </c>
      <c r="G63" s="47">
        <v>0</v>
      </c>
      <c r="H63" s="47">
        <v>0</v>
      </c>
      <c r="I63" s="47">
        <v>113572</v>
      </c>
      <c r="J63" s="47">
        <v>80</v>
      </c>
      <c r="K63" s="47" t="s">
        <v>108</v>
      </c>
    </row>
    <row r="64" spans="1:12">
      <c r="A64" s="47">
        <v>63</v>
      </c>
      <c r="B64" s="47">
        <v>0</v>
      </c>
      <c r="C64" s="47">
        <v>1</v>
      </c>
      <c r="D64" s="47" t="s">
        <v>109</v>
      </c>
      <c r="E64" s="47" t="s">
        <v>13</v>
      </c>
      <c r="F64" s="47">
        <v>45</v>
      </c>
      <c r="G64" s="47">
        <v>1</v>
      </c>
      <c r="H64" s="47">
        <v>0</v>
      </c>
      <c r="I64" s="47">
        <v>36973</v>
      </c>
      <c r="J64" s="47">
        <v>83.475</v>
      </c>
      <c r="K64" s="47" t="s">
        <v>110</v>
      </c>
      <c r="L64" s="47" t="s">
        <v>15</v>
      </c>
    </row>
    <row r="65" spans="1:12">
      <c r="A65" s="47">
        <v>64</v>
      </c>
      <c r="B65" s="47">
        <v>0</v>
      </c>
      <c r="C65" s="47">
        <v>3</v>
      </c>
      <c r="D65" s="47" t="s">
        <v>111</v>
      </c>
      <c r="E65" s="47" t="s">
        <v>13</v>
      </c>
      <c r="F65" s="47">
        <v>4</v>
      </c>
      <c r="G65" s="47">
        <v>3</v>
      </c>
      <c r="H65" s="47">
        <v>2</v>
      </c>
      <c r="I65" s="47">
        <v>347088</v>
      </c>
      <c r="J65" s="47">
        <v>27.9</v>
      </c>
      <c r="L65" s="47" t="s">
        <v>15</v>
      </c>
    </row>
    <row r="66" spans="1:12">
      <c r="A66" s="47">
        <v>65</v>
      </c>
      <c r="B66" s="47">
        <v>0</v>
      </c>
      <c r="C66" s="47">
        <v>1</v>
      </c>
      <c r="D66" s="47" t="s">
        <v>112</v>
      </c>
      <c r="E66" s="47" t="s">
        <v>13</v>
      </c>
      <c r="G66" s="47">
        <v>0</v>
      </c>
      <c r="H66" s="47">
        <v>0</v>
      </c>
      <c r="I66" s="47" t="s">
        <v>113</v>
      </c>
      <c r="J66" s="47">
        <v>27.7208</v>
      </c>
      <c r="L66" s="47" t="s">
        <v>20</v>
      </c>
    </row>
    <row r="67" spans="1:12">
      <c r="A67" s="47">
        <v>66</v>
      </c>
      <c r="B67" s="47">
        <v>1</v>
      </c>
      <c r="C67" s="47">
        <v>3</v>
      </c>
      <c r="D67" s="47" t="s">
        <v>114</v>
      </c>
      <c r="E67" s="47" t="s">
        <v>13</v>
      </c>
      <c r="G67" s="47">
        <v>1</v>
      </c>
      <c r="H67" s="47">
        <v>1</v>
      </c>
      <c r="I67" s="47">
        <v>2661</v>
      </c>
      <c r="J67" s="47">
        <v>15.2458</v>
      </c>
      <c r="L67" s="47" t="s">
        <v>20</v>
      </c>
    </row>
    <row r="68" spans="1:12">
      <c r="A68" s="47">
        <v>67</v>
      </c>
      <c r="B68" s="47">
        <v>1</v>
      </c>
      <c r="C68" s="47">
        <v>2</v>
      </c>
      <c r="D68" s="47" t="s">
        <v>115</v>
      </c>
      <c r="E68" s="47" t="s">
        <v>17</v>
      </c>
      <c r="F68" s="47">
        <v>29</v>
      </c>
      <c r="G68" s="47">
        <v>0</v>
      </c>
      <c r="H68" s="47">
        <v>0</v>
      </c>
      <c r="I68" s="47" t="s">
        <v>116</v>
      </c>
      <c r="J68" s="47">
        <v>10.5</v>
      </c>
      <c r="K68" s="47" t="s">
        <v>117</v>
      </c>
      <c r="L68" s="47" t="s">
        <v>15</v>
      </c>
    </row>
    <row r="69" spans="1:12">
      <c r="A69" s="47">
        <v>68</v>
      </c>
      <c r="B69" s="47">
        <v>0</v>
      </c>
      <c r="C69" s="47">
        <v>3</v>
      </c>
      <c r="D69" s="47" t="s">
        <v>118</v>
      </c>
      <c r="E69" s="47" t="s">
        <v>13</v>
      </c>
      <c r="F69" s="47">
        <v>19</v>
      </c>
      <c r="G69" s="47">
        <v>0</v>
      </c>
      <c r="H69" s="47">
        <v>0</v>
      </c>
      <c r="I69" s="47" t="s">
        <v>119</v>
      </c>
      <c r="J69" s="47">
        <v>8.1583</v>
      </c>
      <c r="L69" s="47" t="s">
        <v>15</v>
      </c>
    </row>
    <row r="70" spans="1:12">
      <c r="A70" s="47">
        <v>69</v>
      </c>
      <c r="B70" s="47">
        <v>1</v>
      </c>
      <c r="C70" s="47">
        <v>3</v>
      </c>
      <c r="D70" s="47" t="s">
        <v>120</v>
      </c>
      <c r="E70" s="47" t="s">
        <v>17</v>
      </c>
      <c r="F70" s="47">
        <v>17</v>
      </c>
      <c r="G70" s="47">
        <v>4</v>
      </c>
      <c r="H70" s="47">
        <v>2</v>
      </c>
      <c r="I70" s="47">
        <v>3101281</v>
      </c>
      <c r="J70" s="47">
        <v>7.925</v>
      </c>
      <c r="L70" s="47" t="s">
        <v>15</v>
      </c>
    </row>
    <row r="71" spans="1:12">
      <c r="A71" s="47">
        <v>70</v>
      </c>
      <c r="B71" s="47">
        <v>0</v>
      </c>
      <c r="C71" s="47">
        <v>3</v>
      </c>
      <c r="D71" s="47" t="s">
        <v>121</v>
      </c>
      <c r="E71" s="47" t="s">
        <v>13</v>
      </c>
      <c r="F71" s="47">
        <v>26</v>
      </c>
      <c r="G71" s="47">
        <v>2</v>
      </c>
      <c r="H71" s="47">
        <v>0</v>
      </c>
      <c r="I71" s="47">
        <v>315151</v>
      </c>
      <c r="J71" s="47">
        <v>8.6625</v>
      </c>
      <c r="L71" s="47" t="s">
        <v>15</v>
      </c>
    </row>
    <row r="72" spans="1:12">
      <c r="A72" s="47">
        <v>71</v>
      </c>
      <c r="B72" s="47">
        <v>0</v>
      </c>
      <c r="C72" s="47">
        <v>2</v>
      </c>
      <c r="D72" s="47" t="s">
        <v>122</v>
      </c>
      <c r="E72" s="47" t="s">
        <v>13</v>
      </c>
      <c r="F72" s="47">
        <v>32</v>
      </c>
      <c r="G72" s="47">
        <v>0</v>
      </c>
      <c r="H72" s="47">
        <v>0</v>
      </c>
      <c r="I72" s="47" t="s">
        <v>123</v>
      </c>
      <c r="J72" s="47">
        <v>10.5</v>
      </c>
      <c r="L72" s="47" t="s">
        <v>15</v>
      </c>
    </row>
    <row r="73" spans="1:12">
      <c r="A73" s="47">
        <v>72</v>
      </c>
      <c r="B73" s="47">
        <v>0</v>
      </c>
      <c r="C73" s="47">
        <v>3</v>
      </c>
      <c r="D73" s="47" t="s">
        <v>124</v>
      </c>
      <c r="E73" s="47" t="s">
        <v>17</v>
      </c>
      <c r="F73" s="47">
        <v>16</v>
      </c>
      <c r="G73" s="47">
        <v>5</v>
      </c>
      <c r="H73" s="47">
        <v>2</v>
      </c>
      <c r="I73" s="47" t="s">
        <v>105</v>
      </c>
      <c r="J73" s="47">
        <v>46.9</v>
      </c>
      <c r="L73" s="47" t="s">
        <v>15</v>
      </c>
    </row>
    <row r="74" spans="1:12">
      <c r="A74" s="47">
        <v>73</v>
      </c>
      <c r="B74" s="47">
        <v>0</v>
      </c>
      <c r="C74" s="47">
        <v>2</v>
      </c>
      <c r="D74" s="47" t="s">
        <v>125</v>
      </c>
      <c r="E74" s="47" t="s">
        <v>13</v>
      </c>
      <c r="F74" s="47">
        <v>21</v>
      </c>
      <c r="G74" s="47">
        <v>0</v>
      </c>
      <c r="H74" s="47">
        <v>0</v>
      </c>
      <c r="I74" s="47" t="s">
        <v>126</v>
      </c>
      <c r="J74" s="47">
        <v>73.5</v>
      </c>
      <c r="L74" s="47" t="s">
        <v>15</v>
      </c>
    </row>
    <row r="75" spans="1:12">
      <c r="A75" s="47">
        <v>74</v>
      </c>
      <c r="B75" s="47">
        <v>0</v>
      </c>
      <c r="C75" s="47">
        <v>3</v>
      </c>
      <c r="D75" s="47" t="s">
        <v>127</v>
      </c>
      <c r="E75" s="47" t="s">
        <v>13</v>
      </c>
      <c r="F75" s="47">
        <v>26</v>
      </c>
      <c r="G75" s="47">
        <v>1</v>
      </c>
      <c r="H75" s="47">
        <v>0</v>
      </c>
      <c r="I75" s="47">
        <v>2680</v>
      </c>
      <c r="J75" s="47">
        <v>14.4542</v>
      </c>
      <c r="L75" s="47" t="s">
        <v>20</v>
      </c>
    </row>
    <row r="76" spans="1:12">
      <c r="A76" s="47">
        <v>75</v>
      </c>
      <c r="B76" s="47">
        <v>1</v>
      </c>
      <c r="C76" s="47">
        <v>3</v>
      </c>
      <c r="D76" s="47" t="s">
        <v>128</v>
      </c>
      <c r="E76" s="47" t="s">
        <v>13</v>
      </c>
      <c r="F76" s="47">
        <v>32</v>
      </c>
      <c r="G76" s="47">
        <v>0</v>
      </c>
      <c r="H76" s="47">
        <v>0</v>
      </c>
      <c r="I76" s="47">
        <v>1601</v>
      </c>
      <c r="J76" s="47">
        <v>56.4958</v>
      </c>
      <c r="L76" s="47" t="s">
        <v>15</v>
      </c>
    </row>
    <row r="77" spans="1:12">
      <c r="A77" s="47">
        <v>76</v>
      </c>
      <c r="B77" s="47">
        <v>0</v>
      </c>
      <c r="C77" s="47">
        <v>3</v>
      </c>
      <c r="D77" s="47" t="s">
        <v>129</v>
      </c>
      <c r="E77" s="47" t="s">
        <v>13</v>
      </c>
      <c r="F77" s="47">
        <v>25</v>
      </c>
      <c r="G77" s="47">
        <v>0</v>
      </c>
      <c r="H77" s="47">
        <v>0</v>
      </c>
      <c r="I77" s="47">
        <v>348123</v>
      </c>
      <c r="J77" s="47">
        <v>7.65</v>
      </c>
      <c r="K77" s="47" t="s">
        <v>130</v>
      </c>
      <c r="L77" s="47" t="s">
        <v>15</v>
      </c>
    </row>
    <row r="78" spans="1:12">
      <c r="A78" s="47">
        <v>77</v>
      </c>
      <c r="B78" s="47">
        <v>0</v>
      </c>
      <c r="C78" s="47">
        <v>3</v>
      </c>
      <c r="D78" s="47" t="s">
        <v>131</v>
      </c>
      <c r="E78" s="47" t="s">
        <v>13</v>
      </c>
      <c r="G78" s="47">
        <v>0</v>
      </c>
      <c r="H78" s="47">
        <v>0</v>
      </c>
      <c r="I78" s="47">
        <v>349208</v>
      </c>
      <c r="J78" s="47">
        <v>7.8958</v>
      </c>
      <c r="L78" s="47" t="s">
        <v>15</v>
      </c>
    </row>
    <row r="79" spans="1:12">
      <c r="A79" s="47">
        <v>78</v>
      </c>
      <c r="B79" s="47">
        <v>0</v>
      </c>
      <c r="C79" s="47">
        <v>3</v>
      </c>
      <c r="D79" s="47" t="s">
        <v>132</v>
      </c>
      <c r="E79" s="47" t="s">
        <v>13</v>
      </c>
      <c r="G79" s="47">
        <v>0</v>
      </c>
      <c r="H79" s="47">
        <v>0</v>
      </c>
      <c r="I79" s="47">
        <v>374746</v>
      </c>
      <c r="J79" s="47">
        <v>8.05</v>
      </c>
      <c r="L79" s="47" t="s">
        <v>15</v>
      </c>
    </row>
    <row r="80" spans="1:12">
      <c r="A80" s="47">
        <v>79</v>
      </c>
      <c r="B80" s="47">
        <v>1</v>
      </c>
      <c r="C80" s="47">
        <v>2</v>
      </c>
      <c r="D80" s="47" t="s">
        <v>133</v>
      </c>
      <c r="E80" s="47" t="s">
        <v>13</v>
      </c>
      <c r="F80" s="47">
        <v>0.83</v>
      </c>
      <c r="G80" s="47">
        <v>0</v>
      </c>
      <c r="H80" s="47">
        <v>2</v>
      </c>
      <c r="I80" s="47">
        <v>248738</v>
      </c>
      <c r="J80" s="47">
        <v>29</v>
      </c>
      <c r="L80" s="47" t="s">
        <v>15</v>
      </c>
    </row>
    <row r="81" spans="1:12">
      <c r="A81" s="47">
        <v>80</v>
      </c>
      <c r="B81" s="47">
        <v>1</v>
      </c>
      <c r="C81" s="47">
        <v>3</v>
      </c>
      <c r="D81" s="47" t="s">
        <v>134</v>
      </c>
      <c r="E81" s="47" t="s">
        <v>17</v>
      </c>
      <c r="F81" s="47">
        <v>30</v>
      </c>
      <c r="G81" s="47">
        <v>0</v>
      </c>
      <c r="H81" s="47">
        <v>0</v>
      </c>
      <c r="I81" s="47">
        <v>364516</v>
      </c>
      <c r="J81" s="47">
        <v>12.475</v>
      </c>
      <c r="L81" s="47" t="s">
        <v>15</v>
      </c>
    </row>
    <row r="82" spans="1:12">
      <c r="A82" s="47">
        <v>81</v>
      </c>
      <c r="B82" s="47">
        <v>0</v>
      </c>
      <c r="C82" s="47">
        <v>3</v>
      </c>
      <c r="D82" s="47" t="s">
        <v>135</v>
      </c>
      <c r="E82" s="47" t="s">
        <v>13</v>
      </c>
      <c r="F82" s="47">
        <v>22</v>
      </c>
      <c r="G82" s="47">
        <v>0</v>
      </c>
      <c r="H82" s="47">
        <v>0</v>
      </c>
      <c r="I82" s="47">
        <v>345767</v>
      </c>
      <c r="J82" s="47">
        <v>9</v>
      </c>
      <c r="L82" s="47" t="s">
        <v>15</v>
      </c>
    </row>
    <row r="83" spans="1:12">
      <c r="A83" s="47">
        <v>82</v>
      </c>
      <c r="B83" s="47">
        <v>1</v>
      </c>
      <c r="C83" s="47">
        <v>3</v>
      </c>
      <c r="D83" s="47" t="s">
        <v>136</v>
      </c>
      <c r="E83" s="47" t="s">
        <v>13</v>
      </c>
      <c r="F83" s="47">
        <v>29</v>
      </c>
      <c r="G83" s="47">
        <v>0</v>
      </c>
      <c r="H83" s="47">
        <v>0</v>
      </c>
      <c r="I83" s="47">
        <v>345779</v>
      </c>
      <c r="J83" s="47">
        <v>9.5</v>
      </c>
      <c r="L83" s="47" t="s">
        <v>15</v>
      </c>
    </row>
    <row r="84" spans="1:12">
      <c r="A84" s="47">
        <v>83</v>
      </c>
      <c r="B84" s="47">
        <v>1</v>
      </c>
      <c r="C84" s="47">
        <v>3</v>
      </c>
      <c r="D84" s="47" t="s">
        <v>137</v>
      </c>
      <c r="E84" s="47" t="s">
        <v>17</v>
      </c>
      <c r="G84" s="47">
        <v>0</v>
      </c>
      <c r="H84" s="47">
        <v>0</v>
      </c>
      <c r="I84" s="47">
        <v>330932</v>
      </c>
      <c r="J84" s="47">
        <v>7.7875</v>
      </c>
      <c r="L84" s="47" t="s">
        <v>27</v>
      </c>
    </row>
    <row r="85" spans="1:12">
      <c r="A85" s="47">
        <v>84</v>
      </c>
      <c r="B85" s="47">
        <v>0</v>
      </c>
      <c r="C85" s="47">
        <v>1</v>
      </c>
      <c r="D85" s="47" t="s">
        <v>138</v>
      </c>
      <c r="E85" s="47" t="s">
        <v>13</v>
      </c>
      <c r="F85" s="47">
        <v>28</v>
      </c>
      <c r="G85" s="47">
        <v>0</v>
      </c>
      <c r="H85" s="47">
        <v>0</v>
      </c>
      <c r="I85" s="47">
        <v>113059</v>
      </c>
      <c r="J85" s="47">
        <v>47.1</v>
      </c>
      <c r="L85" s="47" t="s">
        <v>15</v>
      </c>
    </row>
    <row r="86" spans="1:12">
      <c r="A86" s="47">
        <v>85</v>
      </c>
      <c r="B86" s="47">
        <v>1</v>
      </c>
      <c r="C86" s="47">
        <v>2</v>
      </c>
      <c r="D86" s="47" t="s">
        <v>139</v>
      </c>
      <c r="E86" s="47" t="s">
        <v>17</v>
      </c>
      <c r="F86" s="47">
        <v>17</v>
      </c>
      <c r="G86" s="47">
        <v>0</v>
      </c>
      <c r="H86" s="47">
        <v>0</v>
      </c>
      <c r="I86" s="47" t="s">
        <v>140</v>
      </c>
      <c r="J86" s="47">
        <v>10.5</v>
      </c>
      <c r="L86" s="47" t="s">
        <v>15</v>
      </c>
    </row>
    <row r="87" spans="1:12">
      <c r="A87" s="47">
        <v>86</v>
      </c>
      <c r="B87" s="47">
        <v>1</v>
      </c>
      <c r="C87" s="47">
        <v>3</v>
      </c>
      <c r="D87" s="47" t="s">
        <v>141</v>
      </c>
      <c r="E87" s="47" t="s">
        <v>17</v>
      </c>
      <c r="F87" s="47">
        <v>33</v>
      </c>
      <c r="G87" s="47">
        <v>3</v>
      </c>
      <c r="H87" s="47">
        <v>0</v>
      </c>
      <c r="I87" s="47">
        <v>3101278</v>
      </c>
      <c r="J87" s="47">
        <v>15.85</v>
      </c>
      <c r="L87" s="47" t="s">
        <v>15</v>
      </c>
    </row>
    <row r="88" spans="1:12">
      <c r="A88" s="47">
        <v>87</v>
      </c>
      <c r="B88" s="47">
        <v>0</v>
      </c>
      <c r="C88" s="47">
        <v>3</v>
      </c>
      <c r="D88" s="47" t="s">
        <v>142</v>
      </c>
      <c r="E88" s="47" t="s">
        <v>13</v>
      </c>
      <c r="F88" s="47">
        <v>16</v>
      </c>
      <c r="G88" s="47">
        <v>1</v>
      </c>
      <c r="H88" s="47">
        <v>3</v>
      </c>
      <c r="I88" s="47" t="s">
        <v>143</v>
      </c>
      <c r="J88" s="47">
        <v>34.375</v>
      </c>
      <c r="L88" s="47" t="s">
        <v>15</v>
      </c>
    </row>
    <row r="89" spans="1:12">
      <c r="A89" s="47">
        <v>88</v>
      </c>
      <c r="B89" s="47">
        <v>0</v>
      </c>
      <c r="C89" s="47">
        <v>3</v>
      </c>
      <c r="D89" s="47" t="s">
        <v>144</v>
      </c>
      <c r="E89" s="47" t="s">
        <v>13</v>
      </c>
      <c r="G89" s="47">
        <v>0</v>
      </c>
      <c r="H89" s="47">
        <v>0</v>
      </c>
      <c r="I89" s="47" t="s">
        <v>145</v>
      </c>
      <c r="J89" s="47">
        <v>8.05</v>
      </c>
      <c r="L89" s="47" t="s">
        <v>15</v>
      </c>
    </row>
    <row r="90" spans="1:12">
      <c r="A90" s="47">
        <v>89</v>
      </c>
      <c r="B90" s="47">
        <v>1</v>
      </c>
      <c r="C90" s="47">
        <v>1</v>
      </c>
      <c r="D90" s="47" t="s">
        <v>146</v>
      </c>
      <c r="E90" s="47" t="s">
        <v>17</v>
      </c>
      <c r="F90" s="47">
        <v>23</v>
      </c>
      <c r="G90" s="47">
        <v>3</v>
      </c>
      <c r="H90" s="47">
        <v>2</v>
      </c>
      <c r="I90" s="47">
        <v>19950</v>
      </c>
      <c r="J90" s="47">
        <v>263</v>
      </c>
      <c r="K90" s="47" t="s">
        <v>57</v>
      </c>
      <c r="L90" s="47" t="s">
        <v>15</v>
      </c>
    </row>
    <row r="91" spans="1:12">
      <c r="A91" s="47">
        <v>90</v>
      </c>
      <c r="B91" s="47">
        <v>0</v>
      </c>
      <c r="C91" s="47">
        <v>3</v>
      </c>
      <c r="D91" s="47" t="s">
        <v>147</v>
      </c>
      <c r="E91" s="47" t="s">
        <v>13</v>
      </c>
      <c r="F91" s="47">
        <v>24</v>
      </c>
      <c r="G91" s="47">
        <v>0</v>
      </c>
      <c r="H91" s="47">
        <v>0</v>
      </c>
      <c r="I91" s="47">
        <v>343275</v>
      </c>
      <c r="J91" s="47">
        <v>8.05</v>
      </c>
      <c r="L91" s="47" t="s">
        <v>15</v>
      </c>
    </row>
    <row r="92" spans="1:12">
      <c r="A92" s="47">
        <v>91</v>
      </c>
      <c r="B92" s="47">
        <v>0</v>
      </c>
      <c r="C92" s="47">
        <v>3</v>
      </c>
      <c r="D92" s="47" t="s">
        <v>148</v>
      </c>
      <c r="E92" s="47" t="s">
        <v>13</v>
      </c>
      <c r="F92" s="47">
        <v>29</v>
      </c>
      <c r="G92" s="47">
        <v>0</v>
      </c>
      <c r="H92" s="47">
        <v>0</v>
      </c>
      <c r="I92" s="47">
        <v>343276</v>
      </c>
      <c r="J92" s="47">
        <v>8.05</v>
      </c>
      <c r="L92" s="47" t="s">
        <v>15</v>
      </c>
    </row>
    <row r="93" spans="1:12">
      <c r="A93" s="47">
        <v>92</v>
      </c>
      <c r="B93" s="47">
        <v>0</v>
      </c>
      <c r="C93" s="47">
        <v>3</v>
      </c>
      <c r="D93" s="47" t="s">
        <v>149</v>
      </c>
      <c r="E93" s="47" t="s">
        <v>13</v>
      </c>
      <c r="F93" s="47">
        <v>20</v>
      </c>
      <c r="G93" s="47">
        <v>0</v>
      </c>
      <c r="H93" s="47">
        <v>0</v>
      </c>
      <c r="I93" s="47">
        <v>347466</v>
      </c>
      <c r="J93" s="47">
        <v>7.8542</v>
      </c>
      <c r="L93" s="47" t="s">
        <v>15</v>
      </c>
    </row>
    <row r="94" spans="1:12">
      <c r="A94" s="47">
        <v>93</v>
      </c>
      <c r="B94" s="47">
        <v>0</v>
      </c>
      <c r="C94" s="47">
        <v>1</v>
      </c>
      <c r="D94" s="47" t="s">
        <v>150</v>
      </c>
      <c r="E94" s="47" t="s">
        <v>13</v>
      </c>
      <c r="F94" s="47">
        <v>46</v>
      </c>
      <c r="G94" s="47">
        <v>1</v>
      </c>
      <c r="H94" s="47">
        <v>0</v>
      </c>
      <c r="I94" s="47" t="s">
        <v>151</v>
      </c>
      <c r="J94" s="47">
        <v>61.175</v>
      </c>
      <c r="K94" s="47" t="s">
        <v>152</v>
      </c>
      <c r="L94" s="47" t="s">
        <v>15</v>
      </c>
    </row>
    <row r="95" spans="1:12">
      <c r="A95" s="47">
        <v>94</v>
      </c>
      <c r="B95" s="47">
        <v>0</v>
      </c>
      <c r="C95" s="47">
        <v>3</v>
      </c>
      <c r="D95" s="47" t="s">
        <v>153</v>
      </c>
      <c r="E95" s="47" t="s">
        <v>13</v>
      </c>
      <c r="F95" s="47">
        <v>26</v>
      </c>
      <c r="G95" s="47">
        <v>1</v>
      </c>
      <c r="H95" s="47">
        <v>2</v>
      </c>
      <c r="I95" s="47" t="s">
        <v>154</v>
      </c>
      <c r="J95" s="47">
        <v>20.575</v>
      </c>
      <c r="L95" s="47" t="s">
        <v>15</v>
      </c>
    </row>
    <row r="96" spans="1:12">
      <c r="A96" s="47">
        <v>95</v>
      </c>
      <c r="B96" s="47">
        <v>0</v>
      </c>
      <c r="C96" s="47">
        <v>3</v>
      </c>
      <c r="D96" s="47" t="s">
        <v>155</v>
      </c>
      <c r="E96" s="47" t="s">
        <v>13</v>
      </c>
      <c r="F96" s="47">
        <v>59</v>
      </c>
      <c r="G96" s="47">
        <v>0</v>
      </c>
      <c r="H96" s="47">
        <v>0</v>
      </c>
      <c r="I96" s="47">
        <v>364500</v>
      </c>
      <c r="J96" s="47">
        <v>7.25</v>
      </c>
      <c r="L96" s="47" t="s">
        <v>15</v>
      </c>
    </row>
    <row r="97" spans="1:12">
      <c r="A97" s="47">
        <v>96</v>
      </c>
      <c r="B97" s="47">
        <v>0</v>
      </c>
      <c r="C97" s="47">
        <v>3</v>
      </c>
      <c r="D97" s="47" t="s">
        <v>156</v>
      </c>
      <c r="E97" s="47" t="s">
        <v>13</v>
      </c>
      <c r="G97" s="47">
        <v>0</v>
      </c>
      <c r="H97" s="47">
        <v>0</v>
      </c>
      <c r="I97" s="47">
        <v>374910</v>
      </c>
      <c r="J97" s="47">
        <v>8.05</v>
      </c>
      <c r="L97" s="47" t="s">
        <v>15</v>
      </c>
    </row>
    <row r="98" spans="1:12">
      <c r="A98" s="47">
        <v>97</v>
      </c>
      <c r="B98" s="47">
        <v>0</v>
      </c>
      <c r="C98" s="47">
        <v>1</v>
      </c>
      <c r="D98" s="47" t="s">
        <v>157</v>
      </c>
      <c r="E98" s="47" t="s">
        <v>13</v>
      </c>
      <c r="F98" s="47">
        <v>71</v>
      </c>
      <c r="G98" s="47">
        <v>0</v>
      </c>
      <c r="H98" s="47">
        <v>0</v>
      </c>
      <c r="I98" s="47" t="s">
        <v>158</v>
      </c>
      <c r="J98" s="47">
        <v>34.6542</v>
      </c>
      <c r="K98" s="47" t="s">
        <v>159</v>
      </c>
      <c r="L98" s="47" t="s">
        <v>20</v>
      </c>
    </row>
    <row r="99" spans="1:12">
      <c r="A99" s="47">
        <v>98</v>
      </c>
      <c r="B99" s="47">
        <v>1</v>
      </c>
      <c r="C99" s="47">
        <v>1</v>
      </c>
      <c r="D99" s="47" t="s">
        <v>160</v>
      </c>
      <c r="E99" s="47" t="s">
        <v>13</v>
      </c>
      <c r="F99" s="47">
        <v>23</v>
      </c>
      <c r="G99" s="47">
        <v>0</v>
      </c>
      <c r="H99" s="47">
        <v>1</v>
      </c>
      <c r="I99" s="47" t="s">
        <v>161</v>
      </c>
      <c r="J99" s="47">
        <v>63.3583</v>
      </c>
      <c r="K99" s="47" t="s">
        <v>162</v>
      </c>
      <c r="L99" s="47" t="s">
        <v>20</v>
      </c>
    </row>
    <row r="100" spans="1:12">
      <c r="A100" s="47">
        <v>99</v>
      </c>
      <c r="B100" s="47">
        <v>1</v>
      </c>
      <c r="C100" s="47">
        <v>2</v>
      </c>
      <c r="D100" s="47" t="s">
        <v>163</v>
      </c>
      <c r="E100" s="47" t="s">
        <v>17</v>
      </c>
      <c r="F100" s="47">
        <v>34</v>
      </c>
      <c r="G100" s="47">
        <v>0</v>
      </c>
      <c r="H100" s="47">
        <v>1</v>
      </c>
      <c r="I100" s="47">
        <v>231919</v>
      </c>
      <c r="J100" s="47">
        <v>23</v>
      </c>
      <c r="L100" s="47" t="s">
        <v>15</v>
      </c>
    </row>
    <row r="101" spans="1:12">
      <c r="A101" s="47">
        <v>100</v>
      </c>
      <c r="B101" s="47">
        <v>0</v>
      </c>
      <c r="C101" s="47">
        <v>2</v>
      </c>
      <c r="D101" s="47" t="s">
        <v>164</v>
      </c>
      <c r="E101" s="47" t="s">
        <v>13</v>
      </c>
      <c r="F101" s="47">
        <v>34</v>
      </c>
      <c r="G101" s="47">
        <v>1</v>
      </c>
      <c r="H101" s="47">
        <v>0</v>
      </c>
      <c r="I101" s="47">
        <v>244367</v>
      </c>
      <c r="J101" s="47">
        <v>26</v>
      </c>
      <c r="L101" s="47" t="s">
        <v>15</v>
      </c>
    </row>
    <row r="102" spans="1:12">
      <c r="A102" s="47">
        <v>101</v>
      </c>
      <c r="B102" s="47">
        <v>0</v>
      </c>
      <c r="C102" s="47">
        <v>3</v>
      </c>
      <c r="D102" s="47" t="s">
        <v>165</v>
      </c>
      <c r="E102" s="47" t="s">
        <v>17</v>
      </c>
      <c r="F102" s="47">
        <v>28</v>
      </c>
      <c r="G102" s="47">
        <v>0</v>
      </c>
      <c r="H102" s="47">
        <v>0</v>
      </c>
      <c r="I102" s="47">
        <v>349245</v>
      </c>
      <c r="J102" s="47">
        <v>7.8958</v>
      </c>
      <c r="L102" s="47" t="s">
        <v>15</v>
      </c>
    </row>
    <row r="103" spans="1:12">
      <c r="A103" s="47">
        <v>102</v>
      </c>
      <c r="B103" s="47">
        <v>0</v>
      </c>
      <c r="C103" s="47">
        <v>3</v>
      </c>
      <c r="D103" s="47" t="s">
        <v>166</v>
      </c>
      <c r="E103" s="47" t="s">
        <v>13</v>
      </c>
      <c r="G103" s="47">
        <v>0</v>
      </c>
      <c r="H103" s="47">
        <v>0</v>
      </c>
      <c r="I103" s="47">
        <v>349215</v>
      </c>
      <c r="J103" s="47">
        <v>7.8958</v>
      </c>
      <c r="L103" s="47" t="s">
        <v>15</v>
      </c>
    </row>
    <row r="104" spans="1:12">
      <c r="A104" s="47">
        <v>103</v>
      </c>
      <c r="B104" s="47">
        <v>0</v>
      </c>
      <c r="C104" s="47">
        <v>1</v>
      </c>
      <c r="D104" s="47" t="s">
        <v>167</v>
      </c>
      <c r="E104" s="47" t="s">
        <v>13</v>
      </c>
      <c r="F104" s="47">
        <v>21</v>
      </c>
      <c r="G104" s="47">
        <v>0</v>
      </c>
      <c r="H104" s="47">
        <v>1</v>
      </c>
      <c r="I104" s="47">
        <v>35281</v>
      </c>
      <c r="J104" s="47">
        <v>77.2875</v>
      </c>
      <c r="K104" s="47" t="s">
        <v>168</v>
      </c>
      <c r="L104" s="47" t="s">
        <v>15</v>
      </c>
    </row>
    <row r="105" spans="1:12">
      <c r="A105" s="47">
        <v>104</v>
      </c>
      <c r="B105" s="47">
        <v>0</v>
      </c>
      <c r="C105" s="47">
        <v>3</v>
      </c>
      <c r="D105" s="47" t="s">
        <v>169</v>
      </c>
      <c r="E105" s="47" t="s">
        <v>13</v>
      </c>
      <c r="F105" s="47">
        <v>33</v>
      </c>
      <c r="G105" s="47">
        <v>0</v>
      </c>
      <c r="H105" s="47">
        <v>0</v>
      </c>
      <c r="I105" s="47">
        <v>7540</v>
      </c>
      <c r="J105" s="47">
        <v>8.6542</v>
      </c>
      <c r="L105" s="47" t="s">
        <v>15</v>
      </c>
    </row>
    <row r="106" spans="1:12">
      <c r="A106" s="47">
        <v>105</v>
      </c>
      <c r="B106" s="47">
        <v>0</v>
      </c>
      <c r="C106" s="47">
        <v>3</v>
      </c>
      <c r="D106" s="47" t="s">
        <v>170</v>
      </c>
      <c r="E106" s="47" t="s">
        <v>13</v>
      </c>
      <c r="F106" s="47">
        <v>37</v>
      </c>
      <c r="G106" s="47">
        <v>2</v>
      </c>
      <c r="H106" s="47">
        <v>0</v>
      </c>
      <c r="I106" s="47">
        <v>3101276</v>
      </c>
      <c r="J106" s="47">
        <v>7.925</v>
      </c>
      <c r="L106" s="47" t="s">
        <v>15</v>
      </c>
    </row>
    <row r="107" spans="1:12">
      <c r="A107" s="47">
        <v>106</v>
      </c>
      <c r="B107" s="47">
        <v>0</v>
      </c>
      <c r="C107" s="47">
        <v>3</v>
      </c>
      <c r="D107" s="47" t="s">
        <v>171</v>
      </c>
      <c r="E107" s="47" t="s">
        <v>13</v>
      </c>
      <c r="F107" s="47">
        <v>28</v>
      </c>
      <c r="G107" s="47">
        <v>0</v>
      </c>
      <c r="H107" s="47">
        <v>0</v>
      </c>
      <c r="I107" s="47">
        <v>349207</v>
      </c>
      <c r="J107" s="47">
        <v>7.8958</v>
      </c>
      <c r="L107" s="47" t="s">
        <v>15</v>
      </c>
    </row>
    <row r="108" spans="1:12">
      <c r="A108" s="47">
        <v>107</v>
      </c>
      <c r="B108" s="47">
        <v>1</v>
      </c>
      <c r="C108" s="47">
        <v>3</v>
      </c>
      <c r="D108" s="47" t="s">
        <v>172</v>
      </c>
      <c r="E108" s="47" t="s">
        <v>17</v>
      </c>
      <c r="F108" s="47">
        <v>21</v>
      </c>
      <c r="G108" s="47">
        <v>0</v>
      </c>
      <c r="H108" s="47">
        <v>0</v>
      </c>
      <c r="I108" s="47">
        <v>343120</v>
      </c>
      <c r="J108" s="47">
        <v>7.65</v>
      </c>
      <c r="L108" s="47" t="s">
        <v>15</v>
      </c>
    </row>
    <row r="109" spans="1:12">
      <c r="A109" s="47">
        <v>108</v>
      </c>
      <c r="B109" s="47">
        <v>1</v>
      </c>
      <c r="C109" s="47">
        <v>3</v>
      </c>
      <c r="D109" s="47" t="s">
        <v>173</v>
      </c>
      <c r="E109" s="47" t="s">
        <v>13</v>
      </c>
      <c r="G109" s="47">
        <v>0</v>
      </c>
      <c r="H109" s="47">
        <v>0</v>
      </c>
      <c r="I109" s="47">
        <v>312991</v>
      </c>
      <c r="J109" s="47">
        <v>7.775</v>
      </c>
      <c r="L109" s="47" t="s">
        <v>15</v>
      </c>
    </row>
    <row r="110" spans="1:12">
      <c r="A110" s="47">
        <v>109</v>
      </c>
      <c r="B110" s="47">
        <v>0</v>
      </c>
      <c r="C110" s="47">
        <v>3</v>
      </c>
      <c r="D110" s="47" t="s">
        <v>174</v>
      </c>
      <c r="E110" s="47" t="s">
        <v>13</v>
      </c>
      <c r="F110" s="47">
        <v>38</v>
      </c>
      <c r="G110" s="47">
        <v>0</v>
      </c>
      <c r="H110" s="47">
        <v>0</v>
      </c>
      <c r="I110" s="47">
        <v>349249</v>
      </c>
      <c r="J110" s="47">
        <v>7.8958</v>
      </c>
      <c r="L110" s="47" t="s">
        <v>15</v>
      </c>
    </row>
    <row r="111" spans="1:12">
      <c r="A111" s="47">
        <v>110</v>
      </c>
      <c r="B111" s="47">
        <v>1</v>
      </c>
      <c r="C111" s="47">
        <v>3</v>
      </c>
      <c r="D111" s="47" t="s">
        <v>175</v>
      </c>
      <c r="E111" s="47" t="s">
        <v>17</v>
      </c>
      <c r="G111" s="47">
        <v>1</v>
      </c>
      <c r="H111" s="47">
        <v>0</v>
      </c>
      <c r="I111" s="47">
        <v>371110</v>
      </c>
      <c r="J111" s="47">
        <v>24.15</v>
      </c>
      <c r="L111" s="47" t="s">
        <v>27</v>
      </c>
    </row>
    <row r="112" spans="1:12">
      <c r="A112" s="47">
        <v>111</v>
      </c>
      <c r="B112" s="47">
        <v>0</v>
      </c>
      <c r="C112" s="47">
        <v>1</v>
      </c>
      <c r="D112" s="47" t="s">
        <v>176</v>
      </c>
      <c r="E112" s="47" t="s">
        <v>13</v>
      </c>
      <c r="F112" s="47">
        <v>47</v>
      </c>
      <c r="G112" s="47">
        <v>0</v>
      </c>
      <c r="H112" s="47">
        <v>0</v>
      </c>
      <c r="I112" s="47">
        <v>110465</v>
      </c>
      <c r="J112" s="47">
        <v>52</v>
      </c>
      <c r="K112" s="47" t="s">
        <v>177</v>
      </c>
      <c r="L112" s="47" t="s">
        <v>15</v>
      </c>
    </row>
    <row r="113" spans="1:12">
      <c r="A113" s="47">
        <v>112</v>
      </c>
      <c r="B113" s="47">
        <v>0</v>
      </c>
      <c r="C113" s="47">
        <v>3</v>
      </c>
      <c r="D113" s="47" t="s">
        <v>178</v>
      </c>
      <c r="E113" s="47" t="s">
        <v>17</v>
      </c>
      <c r="F113" s="47">
        <v>14.5</v>
      </c>
      <c r="G113" s="47">
        <v>1</v>
      </c>
      <c r="H113" s="47">
        <v>0</v>
      </c>
      <c r="I113" s="47">
        <v>2665</v>
      </c>
      <c r="J113" s="47">
        <v>14.4542</v>
      </c>
      <c r="L113" s="47" t="s">
        <v>20</v>
      </c>
    </row>
    <row r="114" spans="1:12">
      <c r="A114" s="47">
        <v>113</v>
      </c>
      <c r="B114" s="47">
        <v>0</v>
      </c>
      <c r="C114" s="47">
        <v>3</v>
      </c>
      <c r="D114" s="47" t="s">
        <v>179</v>
      </c>
      <c r="E114" s="47" t="s">
        <v>13</v>
      </c>
      <c r="F114" s="47">
        <v>22</v>
      </c>
      <c r="G114" s="47">
        <v>0</v>
      </c>
      <c r="H114" s="47">
        <v>0</v>
      </c>
      <c r="I114" s="47">
        <v>324669</v>
      </c>
      <c r="J114" s="47">
        <v>8.05</v>
      </c>
      <c r="L114" s="47" t="s">
        <v>15</v>
      </c>
    </row>
    <row r="115" spans="1:12">
      <c r="A115" s="47">
        <v>114</v>
      </c>
      <c r="B115" s="47">
        <v>0</v>
      </c>
      <c r="C115" s="47">
        <v>3</v>
      </c>
      <c r="D115" s="47" t="s">
        <v>180</v>
      </c>
      <c r="E115" s="47" t="s">
        <v>17</v>
      </c>
      <c r="F115" s="47">
        <v>20</v>
      </c>
      <c r="G115" s="47">
        <v>1</v>
      </c>
      <c r="H115" s="47">
        <v>0</v>
      </c>
      <c r="I115" s="47">
        <v>4136</v>
      </c>
      <c r="J115" s="47">
        <v>9.825</v>
      </c>
      <c r="L115" s="47" t="s">
        <v>15</v>
      </c>
    </row>
    <row r="116" spans="1:12">
      <c r="A116" s="47">
        <v>115</v>
      </c>
      <c r="B116" s="47">
        <v>0</v>
      </c>
      <c r="C116" s="47">
        <v>3</v>
      </c>
      <c r="D116" s="47" t="s">
        <v>181</v>
      </c>
      <c r="E116" s="47" t="s">
        <v>17</v>
      </c>
      <c r="F116" s="47">
        <v>17</v>
      </c>
      <c r="G116" s="47">
        <v>0</v>
      </c>
      <c r="H116" s="47">
        <v>0</v>
      </c>
      <c r="I116" s="47">
        <v>2627</v>
      </c>
      <c r="J116" s="47">
        <v>14.4583</v>
      </c>
      <c r="L116" s="47" t="s">
        <v>20</v>
      </c>
    </row>
    <row r="117" spans="1:12">
      <c r="A117" s="47">
        <v>116</v>
      </c>
      <c r="B117" s="47">
        <v>0</v>
      </c>
      <c r="C117" s="47">
        <v>3</v>
      </c>
      <c r="D117" s="47" t="s">
        <v>182</v>
      </c>
      <c r="E117" s="47" t="s">
        <v>13</v>
      </c>
      <c r="F117" s="47">
        <v>21</v>
      </c>
      <c r="G117" s="47">
        <v>0</v>
      </c>
      <c r="H117" s="47">
        <v>0</v>
      </c>
      <c r="I117" s="47" t="s">
        <v>183</v>
      </c>
      <c r="J117" s="47">
        <v>7.925</v>
      </c>
      <c r="L117" s="47" t="s">
        <v>15</v>
      </c>
    </row>
    <row r="118" spans="1:12">
      <c r="A118" s="47">
        <v>117</v>
      </c>
      <c r="B118" s="47">
        <v>0</v>
      </c>
      <c r="C118" s="47">
        <v>3</v>
      </c>
      <c r="D118" s="47" t="s">
        <v>184</v>
      </c>
      <c r="E118" s="47" t="s">
        <v>13</v>
      </c>
      <c r="F118" s="47">
        <v>70.5</v>
      </c>
      <c r="G118" s="47">
        <v>0</v>
      </c>
      <c r="H118" s="47">
        <v>0</v>
      </c>
      <c r="I118" s="47">
        <v>370369</v>
      </c>
      <c r="J118" s="47">
        <v>7.75</v>
      </c>
      <c r="L118" s="47" t="s">
        <v>27</v>
      </c>
    </row>
    <row r="119" spans="1:12">
      <c r="A119" s="47">
        <v>118</v>
      </c>
      <c r="B119" s="47">
        <v>0</v>
      </c>
      <c r="C119" s="47">
        <v>2</v>
      </c>
      <c r="D119" s="47" t="s">
        <v>185</v>
      </c>
      <c r="E119" s="47" t="s">
        <v>13</v>
      </c>
      <c r="F119" s="47">
        <v>29</v>
      </c>
      <c r="G119" s="47">
        <v>1</v>
      </c>
      <c r="H119" s="47">
        <v>0</v>
      </c>
      <c r="I119" s="47">
        <v>11668</v>
      </c>
      <c r="J119" s="47">
        <v>21</v>
      </c>
      <c r="L119" s="47" t="s">
        <v>15</v>
      </c>
    </row>
    <row r="120" spans="1:12">
      <c r="A120" s="47">
        <v>119</v>
      </c>
      <c r="B120" s="47">
        <v>0</v>
      </c>
      <c r="C120" s="47">
        <v>1</v>
      </c>
      <c r="D120" s="47" t="s">
        <v>186</v>
      </c>
      <c r="E120" s="47" t="s">
        <v>13</v>
      </c>
      <c r="F120" s="47">
        <v>24</v>
      </c>
      <c r="G120" s="47">
        <v>0</v>
      </c>
      <c r="H120" s="47">
        <v>1</v>
      </c>
      <c r="I120" s="47" t="s">
        <v>187</v>
      </c>
      <c r="J120" s="47">
        <v>247.5208</v>
      </c>
      <c r="K120" s="47" t="s">
        <v>188</v>
      </c>
      <c r="L120" s="47" t="s">
        <v>20</v>
      </c>
    </row>
    <row r="121" spans="1:12">
      <c r="A121" s="47">
        <v>120</v>
      </c>
      <c r="B121" s="47">
        <v>0</v>
      </c>
      <c r="C121" s="47">
        <v>3</v>
      </c>
      <c r="D121" s="47" t="s">
        <v>189</v>
      </c>
      <c r="E121" s="47" t="s">
        <v>17</v>
      </c>
      <c r="F121" s="47">
        <v>2</v>
      </c>
      <c r="G121" s="47">
        <v>4</v>
      </c>
      <c r="H121" s="47">
        <v>2</v>
      </c>
      <c r="I121" s="47">
        <v>347082</v>
      </c>
      <c r="J121" s="47">
        <v>31.275</v>
      </c>
      <c r="L121" s="47" t="s">
        <v>15</v>
      </c>
    </row>
    <row r="122" spans="1:12">
      <c r="A122" s="47">
        <v>121</v>
      </c>
      <c r="B122" s="47">
        <v>0</v>
      </c>
      <c r="C122" s="47">
        <v>2</v>
      </c>
      <c r="D122" s="47" t="s">
        <v>190</v>
      </c>
      <c r="E122" s="47" t="s">
        <v>13</v>
      </c>
      <c r="F122" s="47">
        <v>21</v>
      </c>
      <c r="G122" s="47">
        <v>2</v>
      </c>
      <c r="H122" s="47">
        <v>0</v>
      </c>
      <c r="I122" s="47" t="s">
        <v>126</v>
      </c>
      <c r="J122" s="47">
        <v>73.5</v>
      </c>
      <c r="L122" s="47" t="s">
        <v>15</v>
      </c>
    </row>
    <row r="123" spans="1:12">
      <c r="A123" s="47">
        <v>122</v>
      </c>
      <c r="B123" s="47">
        <v>0</v>
      </c>
      <c r="C123" s="47">
        <v>3</v>
      </c>
      <c r="D123" s="47" t="s">
        <v>191</v>
      </c>
      <c r="E123" s="47" t="s">
        <v>13</v>
      </c>
      <c r="G123" s="47">
        <v>0</v>
      </c>
      <c r="H123" s="47">
        <v>0</v>
      </c>
      <c r="I123" s="47" t="s">
        <v>192</v>
      </c>
      <c r="J123" s="47">
        <v>8.05</v>
      </c>
      <c r="L123" s="47" t="s">
        <v>15</v>
      </c>
    </row>
    <row r="124" spans="1:12">
      <c r="A124" s="47">
        <v>123</v>
      </c>
      <c r="B124" s="47">
        <v>0</v>
      </c>
      <c r="C124" s="47">
        <v>2</v>
      </c>
      <c r="D124" s="47" t="s">
        <v>193</v>
      </c>
      <c r="E124" s="47" t="s">
        <v>13</v>
      </c>
      <c r="F124" s="47">
        <v>32.5</v>
      </c>
      <c r="G124" s="47">
        <v>1</v>
      </c>
      <c r="H124" s="47">
        <v>0</v>
      </c>
      <c r="I124" s="47">
        <v>237736</v>
      </c>
      <c r="J124" s="47">
        <v>30.0708</v>
      </c>
      <c r="L124" s="47" t="s">
        <v>20</v>
      </c>
    </row>
    <row r="125" spans="1:12">
      <c r="A125" s="47">
        <v>124</v>
      </c>
      <c r="B125" s="47">
        <v>1</v>
      </c>
      <c r="C125" s="47">
        <v>2</v>
      </c>
      <c r="D125" s="47" t="s">
        <v>194</v>
      </c>
      <c r="E125" s="47" t="s">
        <v>17</v>
      </c>
      <c r="F125" s="47">
        <v>32.5</v>
      </c>
      <c r="G125" s="47">
        <v>0</v>
      </c>
      <c r="H125" s="47">
        <v>0</v>
      </c>
      <c r="I125" s="47">
        <v>27267</v>
      </c>
      <c r="J125" s="47">
        <v>13</v>
      </c>
      <c r="K125" s="47" t="s">
        <v>195</v>
      </c>
      <c r="L125" s="47" t="s">
        <v>15</v>
      </c>
    </row>
    <row r="126" spans="1:12">
      <c r="A126" s="47">
        <v>125</v>
      </c>
      <c r="B126" s="47">
        <v>0</v>
      </c>
      <c r="C126" s="47">
        <v>1</v>
      </c>
      <c r="D126" s="47" t="s">
        <v>196</v>
      </c>
      <c r="E126" s="47" t="s">
        <v>13</v>
      </c>
      <c r="F126" s="47">
        <v>54</v>
      </c>
      <c r="G126" s="47">
        <v>0</v>
      </c>
      <c r="H126" s="47">
        <v>1</v>
      </c>
      <c r="I126" s="47">
        <v>35281</v>
      </c>
      <c r="J126" s="47">
        <v>77.2875</v>
      </c>
      <c r="K126" s="47" t="s">
        <v>168</v>
      </c>
      <c r="L126" s="47" t="s">
        <v>15</v>
      </c>
    </row>
    <row r="127" spans="1:12">
      <c r="A127" s="47">
        <v>126</v>
      </c>
      <c r="B127" s="47">
        <v>1</v>
      </c>
      <c r="C127" s="47">
        <v>3</v>
      </c>
      <c r="D127" s="47" t="s">
        <v>197</v>
      </c>
      <c r="E127" s="47" t="s">
        <v>13</v>
      </c>
      <c r="F127" s="47">
        <v>12</v>
      </c>
      <c r="G127" s="47">
        <v>1</v>
      </c>
      <c r="H127" s="47">
        <v>0</v>
      </c>
      <c r="I127" s="47">
        <v>2651</v>
      </c>
      <c r="J127" s="47">
        <v>11.2417</v>
      </c>
      <c r="L127" s="47" t="s">
        <v>20</v>
      </c>
    </row>
    <row r="128" spans="1:12">
      <c r="A128" s="47">
        <v>127</v>
      </c>
      <c r="B128" s="47">
        <v>0</v>
      </c>
      <c r="C128" s="47">
        <v>3</v>
      </c>
      <c r="D128" s="47" t="s">
        <v>198</v>
      </c>
      <c r="E128" s="47" t="s">
        <v>13</v>
      </c>
      <c r="G128" s="47">
        <v>0</v>
      </c>
      <c r="H128" s="47">
        <v>0</v>
      </c>
      <c r="I128" s="47">
        <v>370372</v>
      </c>
      <c r="J128" s="47">
        <v>7.75</v>
      </c>
      <c r="L128" s="47" t="s">
        <v>27</v>
      </c>
    </row>
    <row r="129" spans="1:12">
      <c r="A129" s="47">
        <v>128</v>
      </c>
      <c r="B129" s="47">
        <v>1</v>
      </c>
      <c r="C129" s="47">
        <v>3</v>
      </c>
      <c r="D129" s="47" t="s">
        <v>199</v>
      </c>
      <c r="E129" s="47" t="s">
        <v>13</v>
      </c>
      <c r="F129" s="47">
        <v>24</v>
      </c>
      <c r="G129" s="47">
        <v>0</v>
      </c>
      <c r="H129" s="47">
        <v>0</v>
      </c>
      <c r="I129" s="47" t="s">
        <v>200</v>
      </c>
      <c r="J129" s="47">
        <v>7.1417</v>
      </c>
      <c r="L129" s="47" t="s">
        <v>15</v>
      </c>
    </row>
    <row r="130" spans="1:12">
      <c r="A130" s="47">
        <v>129</v>
      </c>
      <c r="B130" s="47">
        <v>1</v>
      </c>
      <c r="C130" s="47">
        <v>3</v>
      </c>
      <c r="D130" s="47" t="s">
        <v>201</v>
      </c>
      <c r="E130" s="47" t="s">
        <v>17</v>
      </c>
      <c r="G130" s="47">
        <v>1</v>
      </c>
      <c r="H130" s="47">
        <v>1</v>
      </c>
      <c r="I130" s="47">
        <v>2668</v>
      </c>
      <c r="J130" s="47">
        <v>22.3583</v>
      </c>
      <c r="K130" s="47" t="s">
        <v>202</v>
      </c>
      <c r="L130" s="47" t="s">
        <v>20</v>
      </c>
    </row>
    <row r="131" spans="1:12">
      <c r="A131" s="47">
        <v>130</v>
      </c>
      <c r="B131" s="47">
        <v>0</v>
      </c>
      <c r="C131" s="47">
        <v>3</v>
      </c>
      <c r="D131" s="47" t="s">
        <v>203</v>
      </c>
      <c r="E131" s="47" t="s">
        <v>13</v>
      </c>
      <c r="F131" s="47">
        <v>45</v>
      </c>
      <c r="G131" s="47">
        <v>0</v>
      </c>
      <c r="H131" s="47">
        <v>0</v>
      </c>
      <c r="I131" s="47">
        <v>347061</v>
      </c>
      <c r="J131" s="47">
        <v>6.975</v>
      </c>
      <c r="L131" s="47" t="s">
        <v>15</v>
      </c>
    </row>
    <row r="132" spans="1:12">
      <c r="A132" s="47">
        <v>131</v>
      </c>
      <c r="B132" s="47">
        <v>0</v>
      </c>
      <c r="C132" s="47">
        <v>3</v>
      </c>
      <c r="D132" s="47" t="s">
        <v>204</v>
      </c>
      <c r="E132" s="47" t="s">
        <v>13</v>
      </c>
      <c r="F132" s="47">
        <v>33</v>
      </c>
      <c r="G132" s="47">
        <v>0</v>
      </c>
      <c r="H132" s="47">
        <v>0</v>
      </c>
      <c r="I132" s="47">
        <v>349241</v>
      </c>
      <c r="J132" s="47">
        <v>7.8958</v>
      </c>
      <c r="L132" s="47" t="s">
        <v>20</v>
      </c>
    </row>
    <row r="133" spans="1:12">
      <c r="A133" s="47">
        <v>132</v>
      </c>
      <c r="B133" s="47">
        <v>0</v>
      </c>
      <c r="C133" s="47">
        <v>3</v>
      </c>
      <c r="D133" s="47" t="s">
        <v>205</v>
      </c>
      <c r="E133" s="47" t="s">
        <v>13</v>
      </c>
      <c r="F133" s="47">
        <v>20</v>
      </c>
      <c r="G133" s="47">
        <v>0</v>
      </c>
      <c r="H133" s="47">
        <v>0</v>
      </c>
      <c r="I133" s="47" t="s">
        <v>206</v>
      </c>
      <c r="J133" s="47">
        <v>7.05</v>
      </c>
      <c r="L133" s="47" t="s">
        <v>15</v>
      </c>
    </row>
    <row r="134" spans="1:12">
      <c r="A134" s="47">
        <v>133</v>
      </c>
      <c r="B134" s="47">
        <v>0</v>
      </c>
      <c r="C134" s="47">
        <v>3</v>
      </c>
      <c r="D134" s="47" t="s">
        <v>207</v>
      </c>
      <c r="E134" s="47" t="s">
        <v>17</v>
      </c>
      <c r="F134" s="47">
        <v>47</v>
      </c>
      <c r="G134" s="47">
        <v>1</v>
      </c>
      <c r="H134" s="47">
        <v>0</v>
      </c>
      <c r="I134" s="47" t="s">
        <v>208</v>
      </c>
      <c r="J134" s="47">
        <v>14.5</v>
      </c>
      <c r="L134" s="47" t="s">
        <v>15</v>
      </c>
    </row>
    <row r="135" spans="1:12">
      <c r="A135" s="47">
        <v>134</v>
      </c>
      <c r="B135" s="47">
        <v>1</v>
      </c>
      <c r="C135" s="47">
        <v>2</v>
      </c>
      <c r="D135" s="47" t="s">
        <v>209</v>
      </c>
      <c r="E135" s="47" t="s">
        <v>17</v>
      </c>
      <c r="F135" s="47">
        <v>29</v>
      </c>
      <c r="G135" s="47">
        <v>1</v>
      </c>
      <c r="H135" s="47">
        <v>0</v>
      </c>
      <c r="I135" s="47">
        <v>228414</v>
      </c>
      <c r="J135" s="47">
        <v>26</v>
      </c>
      <c r="L135" s="47" t="s">
        <v>15</v>
      </c>
    </row>
    <row r="136" spans="1:12">
      <c r="A136" s="47">
        <v>135</v>
      </c>
      <c r="B136" s="47">
        <v>0</v>
      </c>
      <c r="C136" s="47">
        <v>2</v>
      </c>
      <c r="D136" s="47" t="s">
        <v>210</v>
      </c>
      <c r="E136" s="47" t="s">
        <v>13</v>
      </c>
      <c r="F136" s="47">
        <v>25</v>
      </c>
      <c r="G136" s="47">
        <v>0</v>
      </c>
      <c r="H136" s="47">
        <v>0</v>
      </c>
      <c r="I136" s="47" t="s">
        <v>211</v>
      </c>
      <c r="J136" s="47">
        <v>13</v>
      </c>
      <c r="L136" s="47" t="s">
        <v>15</v>
      </c>
    </row>
    <row r="137" spans="1:12">
      <c r="A137" s="47">
        <v>136</v>
      </c>
      <c r="B137" s="47">
        <v>0</v>
      </c>
      <c r="C137" s="47">
        <v>2</v>
      </c>
      <c r="D137" s="47" t="s">
        <v>212</v>
      </c>
      <c r="E137" s="47" t="s">
        <v>13</v>
      </c>
      <c r="F137" s="47">
        <v>23</v>
      </c>
      <c r="G137" s="47">
        <v>0</v>
      </c>
      <c r="H137" s="47">
        <v>0</v>
      </c>
      <c r="I137" s="47" t="s">
        <v>213</v>
      </c>
      <c r="J137" s="47">
        <v>15.0458</v>
      </c>
      <c r="L137" s="47" t="s">
        <v>20</v>
      </c>
    </row>
    <row r="138" spans="1:12">
      <c r="A138" s="47">
        <v>137</v>
      </c>
      <c r="B138" s="47">
        <v>1</v>
      </c>
      <c r="C138" s="47">
        <v>1</v>
      </c>
      <c r="D138" s="47" t="s">
        <v>214</v>
      </c>
      <c r="E138" s="47" t="s">
        <v>17</v>
      </c>
      <c r="F138" s="47">
        <v>19</v>
      </c>
      <c r="G138" s="47">
        <v>0</v>
      </c>
      <c r="H138" s="47">
        <v>2</v>
      </c>
      <c r="I138" s="47">
        <v>11752</v>
      </c>
      <c r="J138" s="47">
        <v>26.2833</v>
      </c>
      <c r="K138" s="47" t="s">
        <v>215</v>
      </c>
      <c r="L138" s="47" t="s">
        <v>15</v>
      </c>
    </row>
    <row r="139" spans="1:12">
      <c r="A139" s="47">
        <v>138</v>
      </c>
      <c r="B139" s="47">
        <v>0</v>
      </c>
      <c r="C139" s="47">
        <v>1</v>
      </c>
      <c r="D139" s="47" t="s">
        <v>216</v>
      </c>
      <c r="E139" s="47" t="s">
        <v>13</v>
      </c>
      <c r="F139" s="47">
        <v>37</v>
      </c>
      <c r="G139" s="47">
        <v>1</v>
      </c>
      <c r="H139" s="47">
        <v>0</v>
      </c>
      <c r="I139" s="47">
        <v>113803</v>
      </c>
      <c r="J139" s="47">
        <v>53.1</v>
      </c>
      <c r="K139" s="47" t="s">
        <v>24</v>
      </c>
      <c r="L139" s="47" t="s">
        <v>15</v>
      </c>
    </row>
    <row r="140" spans="1:12">
      <c r="A140" s="47">
        <v>139</v>
      </c>
      <c r="B140" s="47">
        <v>0</v>
      </c>
      <c r="C140" s="47">
        <v>3</v>
      </c>
      <c r="D140" s="47" t="s">
        <v>217</v>
      </c>
      <c r="E140" s="47" t="s">
        <v>13</v>
      </c>
      <c r="F140" s="47">
        <v>16</v>
      </c>
      <c r="G140" s="47">
        <v>0</v>
      </c>
      <c r="H140" s="47">
        <v>0</v>
      </c>
      <c r="I140" s="47">
        <v>7534</v>
      </c>
      <c r="J140" s="47">
        <v>9.2167</v>
      </c>
      <c r="L140" s="47" t="s">
        <v>15</v>
      </c>
    </row>
    <row r="141" spans="1:12">
      <c r="A141" s="47">
        <v>140</v>
      </c>
      <c r="B141" s="47">
        <v>0</v>
      </c>
      <c r="C141" s="47">
        <v>1</v>
      </c>
      <c r="D141" s="47" t="s">
        <v>218</v>
      </c>
      <c r="E141" s="47" t="s">
        <v>13</v>
      </c>
      <c r="F141" s="47">
        <v>24</v>
      </c>
      <c r="G141" s="47">
        <v>0</v>
      </c>
      <c r="H141" s="47">
        <v>0</v>
      </c>
      <c r="I141" s="47" t="s">
        <v>219</v>
      </c>
      <c r="J141" s="47">
        <v>79.2</v>
      </c>
      <c r="K141" s="47" t="s">
        <v>220</v>
      </c>
      <c r="L141" s="47" t="s">
        <v>20</v>
      </c>
    </row>
    <row r="142" spans="1:12">
      <c r="A142" s="47">
        <v>141</v>
      </c>
      <c r="B142" s="47">
        <v>0</v>
      </c>
      <c r="C142" s="47">
        <v>3</v>
      </c>
      <c r="D142" s="47" t="s">
        <v>221</v>
      </c>
      <c r="E142" s="47" t="s">
        <v>17</v>
      </c>
      <c r="G142" s="47">
        <v>0</v>
      </c>
      <c r="H142" s="47">
        <v>2</v>
      </c>
      <c r="I142" s="47">
        <v>2678</v>
      </c>
      <c r="J142" s="47">
        <v>15.2458</v>
      </c>
      <c r="L142" s="47" t="s">
        <v>20</v>
      </c>
    </row>
    <row r="143" spans="1:12">
      <c r="A143" s="47">
        <v>142</v>
      </c>
      <c r="B143" s="47">
        <v>1</v>
      </c>
      <c r="C143" s="47">
        <v>3</v>
      </c>
      <c r="D143" s="47" t="s">
        <v>222</v>
      </c>
      <c r="E143" s="47" t="s">
        <v>17</v>
      </c>
      <c r="F143" s="47">
        <v>22</v>
      </c>
      <c r="G143" s="47">
        <v>0</v>
      </c>
      <c r="H143" s="47">
        <v>0</v>
      </c>
      <c r="I143" s="47">
        <v>347081</v>
      </c>
      <c r="J143" s="47">
        <v>7.75</v>
      </c>
      <c r="L143" s="47" t="s">
        <v>15</v>
      </c>
    </row>
    <row r="144" spans="1:12">
      <c r="A144" s="47">
        <v>143</v>
      </c>
      <c r="B144" s="47">
        <v>1</v>
      </c>
      <c r="C144" s="47">
        <v>3</v>
      </c>
      <c r="D144" s="47" t="s">
        <v>223</v>
      </c>
      <c r="E144" s="47" t="s">
        <v>17</v>
      </c>
      <c r="F144" s="47">
        <v>24</v>
      </c>
      <c r="G144" s="47">
        <v>1</v>
      </c>
      <c r="H144" s="47">
        <v>0</v>
      </c>
      <c r="I144" s="47" t="s">
        <v>224</v>
      </c>
      <c r="J144" s="47">
        <v>15.85</v>
      </c>
      <c r="L144" s="47" t="s">
        <v>15</v>
      </c>
    </row>
    <row r="145" spans="1:12">
      <c r="A145" s="47">
        <v>144</v>
      </c>
      <c r="B145" s="47">
        <v>0</v>
      </c>
      <c r="C145" s="47">
        <v>3</v>
      </c>
      <c r="D145" s="47" t="s">
        <v>225</v>
      </c>
      <c r="E145" s="47" t="s">
        <v>13</v>
      </c>
      <c r="F145" s="47">
        <v>19</v>
      </c>
      <c r="G145" s="47">
        <v>0</v>
      </c>
      <c r="H145" s="47">
        <v>0</v>
      </c>
      <c r="I145" s="47">
        <v>365222</v>
      </c>
      <c r="J145" s="47">
        <v>6.75</v>
      </c>
      <c r="L145" s="47" t="s">
        <v>27</v>
      </c>
    </row>
    <row r="146" spans="1:12">
      <c r="A146" s="47">
        <v>145</v>
      </c>
      <c r="B146" s="47">
        <v>0</v>
      </c>
      <c r="C146" s="47">
        <v>2</v>
      </c>
      <c r="D146" s="47" t="s">
        <v>226</v>
      </c>
      <c r="E146" s="47" t="s">
        <v>13</v>
      </c>
      <c r="F146" s="47">
        <v>18</v>
      </c>
      <c r="G146" s="47">
        <v>0</v>
      </c>
      <c r="H146" s="47">
        <v>0</v>
      </c>
      <c r="I146" s="47">
        <v>231945</v>
      </c>
      <c r="J146" s="47">
        <v>11.5</v>
      </c>
      <c r="L146" s="47" t="s">
        <v>15</v>
      </c>
    </row>
    <row r="147" spans="1:12">
      <c r="A147" s="47">
        <v>146</v>
      </c>
      <c r="B147" s="47">
        <v>0</v>
      </c>
      <c r="C147" s="47">
        <v>2</v>
      </c>
      <c r="D147" s="47" t="s">
        <v>227</v>
      </c>
      <c r="E147" s="47" t="s">
        <v>13</v>
      </c>
      <c r="F147" s="47">
        <v>19</v>
      </c>
      <c r="G147" s="47">
        <v>1</v>
      </c>
      <c r="H147" s="47">
        <v>1</v>
      </c>
      <c r="I147" s="47" t="s">
        <v>228</v>
      </c>
      <c r="J147" s="47">
        <v>36.75</v>
      </c>
      <c r="L147" s="47" t="s">
        <v>15</v>
      </c>
    </row>
    <row r="148" spans="1:12">
      <c r="A148" s="47">
        <v>147</v>
      </c>
      <c r="B148" s="47">
        <v>1</v>
      </c>
      <c r="C148" s="47">
        <v>3</v>
      </c>
      <c r="D148" s="47" t="s">
        <v>229</v>
      </c>
      <c r="E148" s="47" t="s">
        <v>13</v>
      </c>
      <c r="F148" s="47">
        <v>27</v>
      </c>
      <c r="G148" s="47">
        <v>0</v>
      </c>
      <c r="H148" s="47">
        <v>0</v>
      </c>
      <c r="I148" s="47">
        <v>350043</v>
      </c>
      <c r="J148" s="47">
        <v>7.7958</v>
      </c>
      <c r="L148" s="47" t="s">
        <v>15</v>
      </c>
    </row>
    <row r="149" spans="1:12">
      <c r="A149" s="47">
        <v>148</v>
      </c>
      <c r="B149" s="47">
        <v>0</v>
      </c>
      <c r="C149" s="47">
        <v>3</v>
      </c>
      <c r="D149" s="47" t="s">
        <v>230</v>
      </c>
      <c r="E149" s="47" t="s">
        <v>17</v>
      </c>
      <c r="F149" s="47">
        <v>9</v>
      </c>
      <c r="G149" s="47">
        <v>2</v>
      </c>
      <c r="H149" s="47">
        <v>2</v>
      </c>
      <c r="I149" s="47" t="s">
        <v>143</v>
      </c>
      <c r="J149" s="47">
        <v>34.375</v>
      </c>
      <c r="L149" s="47" t="s">
        <v>15</v>
      </c>
    </row>
    <row r="150" spans="1:12">
      <c r="A150" s="47">
        <v>149</v>
      </c>
      <c r="B150" s="47">
        <v>0</v>
      </c>
      <c r="C150" s="47">
        <v>2</v>
      </c>
      <c r="D150" s="47" t="s">
        <v>231</v>
      </c>
      <c r="E150" s="47" t="s">
        <v>13</v>
      </c>
      <c r="F150" s="47">
        <v>36.5</v>
      </c>
      <c r="G150" s="47">
        <v>0</v>
      </c>
      <c r="H150" s="47">
        <v>2</v>
      </c>
      <c r="I150" s="47">
        <v>230080</v>
      </c>
      <c r="J150" s="47">
        <v>26</v>
      </c>
      <c r="K150" s="47" t="s">
        <v>232</v>
      </c>
      <c r="L150" s="47" t="s">
        <v>15</v>
      </c>
    </row>
    <row r="151" spans="1:12">
      <c r="A151" s="47">
        <v>150</v>
      </c>
      <c r="B151" s="47">
        <v>0</v>
      </c>
      <c r="C151" s="47">
        <v>2</v>
      </c>
      <c r="D151" s="47" t="s">
        <v>233</v>
      </c>
      <c r="E151" s="47" t="s">
        <v>13</v>
      </c>
      <c r="F151" s="47">
        <v>42</v>
      </c>
      <c r="G151" s="47">
        <v>0</v>
      </c>
      <c r="H151" s="47">
        <v>0</v>
      </c>
      <c r="I151" s="47">
        <v>244310</v>
      </c>
      <c r="J151" s="47">
        <v>13</v>
      </c>
      <c r="L151" s="47" t="s">
        <v>15</v>
      </c>
    </row>
    <row r="152" spans="1:12">
      <c r="A152" s="47">
        <v>151</v>
      </c>
      <c r="B152" s="47">
        <v>0</v>
      </c>
      <c r="C152" s="47">
        <v>2</v>
      </c>
      <c r="D152" s="47" t="s">
        <v>234</v>
      </c>
      <c r="E152" s="47" t="s">
        <v>13</v>
      </c>
      <c r="F152" s="47">
        <v>51</v>
      </c>
      <c r="G152" s="47">
        <v>0</v>
      </c>
      <c r="H152" s="47">
        <v>0</v>
      </c>
      <c r="I152" s="47" t="s">
        <v>235</v>
      </c>
      <c r="J152" s="47">
        <v>12.525</v>
      </c>
      <c r="L152" s="47" t="s">
        <v>15</v>
      </c>
    </row>
    <row r="153" spans="1:12">
      <c r="A153" s="47">
        <v>152</v>
      </c>
      <c r="B153" s="47">
        <v>1</v>
      </c>
      <c r="C153" s="47">
        <v>1</v>
      </c>
      <c r="D153" s="47" t="s">
        <v>236</v>
      </c>
      <c r="E153" s="47" t="s">
        <v>17</v>
      </c>
      <c r="F153" s="47">
        <v>22</v>
      </c>
      <c r="G153" s="47">
        <v>1</v>
      </c>
      <c r="H153" s="47">
        <v>0</v>
      </c>
      <c r="I153" s="47">
        <v>113776</v>
      </c>
      <c r="J153" s="47">
        <v>66.6</v>
      </c>
      <c r="K153" s="47" t="s">
        <v>237</v>
      </c>
      <c r="L153" s="47" t="s">
        <v>15</v>
      </c>
    </row>
    <row r="154" spans="1:12">
      <c r="A154" s="47">
        <v>153</v>
      </c>
      <c r="B154" s="47">
        <v>0</v>
      </c>
      <c r="C154" s="47">
        <v>3</v>
      </c>
      <c r="D154" s="47" t="s">
        <v>238</v>
      </c>
      <c r="E154" s="47" t="s">
        <v>13</v>
      </c>
      <c r="F154" s="47">
        <v>55.5</v>
      </c>
      <c r="G154" s="47">
        <v>0</v>
      </c>
      <c r="H154" s="47">
        <v>0</v>
      </c>
      <c r="I154" s="47" t="s">
        <v>239</v>
      </c>
      <c r="J154" s="47">
        <v>8.05</v>
      </c>
      <c r="L154" s="47" t="s">
        <v>15</v>
      </c>
    </row>
    <row r="155" spans="1:12">
      <c r="A155" s="47">
        <v>154</v>
      </c>
      <c r="B155" s="47">
        <v>0</v>
      </c>
      <c r="C155" s="47">
        <v>3</v>
      </c>
      <c r="D155" s="47" t="s">
        <v>240</v>
      </c>
      <c r="E155" s="47" t="s">
        <v>13</v>
      </c>
      <c r="F155" s="47">
        <v>40.5</v>
      </c>
      <c r="G155" s="47">
        <v>0</v>
      </c>
      <c r="H155" s="47">
        <v>2</v>
      </c>
      <c r="I155" s="47" t="s">
        <v>241</v>
      </c>
      <c r="J155" s="47">
        <v>14.5</v>
      </c>
      <c r="L155" s="47" t="s">
        <v>15</v>
      </c>
    </row>
    <row r="156" spans="1:12">
      <c r="A156" s="47">
        <v>155</v>
      </c>
      <c r="B156" s="47">
        <v>0</v>
      </c>
      <c r="C156" s="47">
        <v>3</v>
      </c>
      <c r="D156" s="47" t="s">
        <v>242</v>
      </c>
      <c r="E156" s="47" t="s">
        <v>13</v>
      </c>
      <c r="G156" s="47">
        <v>0</v>
      </c>
      <c r="H156" s="47">
        <v>0</v>
      </c>
      <c r="I156" s="47" t="s">
        <v>243</v>
      </c>
      <c r="J156" s="47">
        <v>7.3125</v>
      </c>
      <c r="L156" s="47" t="s">
        <v>15</v>
      </c>
    </row>
    <row r="157" spans="1:12">
      <c r="A157" s="47">
        <v>156</v>
      </c>
      <c r="B157" s="47">
        <v>0</v>
      </c>
      <c r="C157" s="47">
        <v>1</v>
      </c>
      <c r="D157" s="47" t="s">
        <v>244</v>
      </c>
      <c r="E157" s="47" t="s">
        <v>13</v>
      </c>
      <c r="F157" s="47">
        <v>51</v>
      </c>
      <c r="G157" s="47">
        <v>0</v>
      </c>
      <c r="H157" s="47">
        <v>1</v>
      </c>
      <c r="I157" s="47" t="s">
        <v>245</v>
      </c>
      <c r="J157" s="47">
        <v>61.3792</v>
      </c>
      <c r="L157" s="47" t="s">
        <v>20</v>
      </c>
    </row>
    <row r="158" spans="1:12">
      <c r="A158" s="47">
        <v>157</v>
      </c>
      <c r="B158" s="47">
        <v>1</v>
      </c>
      <c r="C158" s="47">
        <v>3</v>
      </c>
      <c r="D158" s="47" t="s">
        <v>246</v>
      </c>
      <c r="E158" s="47" t="s">
        <v>17</v>
      </c>
      <c r="F158" s="47">
        <v>16</v>
      </c>
      <c r="G158" s="47">
        <v>0</v>
      </c>
      <c r="H158" s="47">
        <v>0</v>
      </c>
      <c r="I158" s="47">
        <v>35851</v>
      </c>
      <c r="J158" s="47">
        <v>7.7333</v>
      </c>
      <c r="L158" s="47" t="s">
        <v>27</v>
      </c>
    </row>
    <row r="159" spans="1:12">
      <c r="A159" s="47">
        <v>158</v>
      </c>
      <c r="B159" s="47">
        <v>0</v>
      </c>
      <c r="C159" s="47">
        <v>3</v>
      </c>
      <c r="D159" s="47" t="s">
        <v>247</v>
      </c>
      <c r="E159" s="47" t="s">
        <v>13</v>
      </c>
      <c r="F159" s="47">
        <v>30</v>
      </c>
      <c r="G159" s="47">
        <v>0</v>
      </c>
      <c r="H159" s="47">
        <v>0</v>
      </c>
      <c r="I159" s="47" t="s">
        <v>248</v>
      </c>
      <c r="J159" s="47">
        <v>8.05</v>
      </c>
      <c r="L159" s="47" t="s">
        <v>15</v>
      </c>
    </row>
    <row r="160" spans="1:12">
      <c r="A160" s="47">
        <v>159</v>
      </c>
      <c r="B160" s="47">
        <v>0</v>
      </c>
      <c r="C160" s="47">
        <v>3</v>
      </c>
      <c r="D160" s="47" t="s">
        <v>249</v>
      </c>
      <c r="E160" s="47" t="s">
        <v>13</v>
      </c>
      <c r="G160" s="47">
        <v>0</v>
      </c>
      <c r="H160" s="47">
        <v>0</v>
      </c>
      <c r="I160" s="47">
        <v>315037</v>
      </c>
      <c r="J160" s="47">
        <v>8.6625</v>
      </c>
      <c r="L160" s="47" t="s">
        <v>15</v>
      </c>
    </row>
    <row r="161" spans="1:12">
      <c r="A161" s="47">
        <v>160</v>
      </c>
      <c r="B161" s="47">
        <v>0</v>
      </c>
      <c r="C161" s="47">
        <v>3</v>
      </c>
      <c r="D161" s="47" t="s">
        <v>250</v>
      </c>
      <c r="E161" s="47" t="s">
        <v>13</v>
      </c>
      <c r="G161" s="47">
        <v>8</v>
      </c>
      <c r="H161" s="47">
        <v>2</v>
      </c>
      <c r="I161" s="47" t="s">
        <v>251</v>
      </c>
      <c r="J161" s="47">
        <v>69.55</v>
      </c>
      <c r="L161" s="47" t="s">
        <v>15</v>
      </c>
    </row>
    <row r="162" spans="1:12">
      <c r="A162" s="47">
        <v>161</v>
      </c>
      <c r="B162" s="47">
        <v>0</v>
      </c>
      <c r="C162" s="47">
        <v>3</v>
      </c>
      <c r="D162" s="47" t="s">
        <v>252</v>
      </c>
      <c r="E162" s="47" t="s">
        <v>13</v>
      </c>
      <c r="F162" s="47">
        <v>44</v>
      </c>
      <c r="G162" s="47">
        <v>0</v>
      </c>
      <c r="H162" s="47">
        <v>1</v>
      </c>
      <c r="I162" s="47">
        <v>371362</v>
      </c>
      <c r="J162" s="47">
        <v>16.1</v>
      </c>
      <c r="L162" s="47" t="s">
        <v>15</v>
      </c>
    </row>
    <row r="163" spans="1:12">
      <c r="A163" s="47">
        <v>162</v>
      </c>
      <c r="B163" s="47">
        <v>1</v>
      </c>
      <c r="C163" s="47">
        <v>2</v>
      </c>
      <c r="D163" s="47" t="s">
        <v>253</v>
      </c>
      <c r="E163" s="47" t="s">
        <v>17</v>
      </c>
      <c r="F163" s="47">
        <v>40</v>
      </c>
      <c r="G163" s="47">
        <v>0</v>
      </c>
      <c r="H163" s="47">
        <v>0</v>
      </c>
      <c r="I163" s="47" t="s">
        <v>254</v>
      </c>
      <c r="J163" s="47">
        <v>15.75</v>
      </c>
      <c r="L163" s="47" t="s">
        <v>15</v>
      </c>
    </row>
    <row r="164" spans="1:12">
      <c r="A164" s="47">
        <v>163</v>
      </c>
      <c r="B164" s="47">
        <v>0</v>
      </c>
      <c r="C164" s="47">
        <v>3</v>
      </c>
      <c r="D164" s="47" t="s">
        <v>255</v>
      </c>
      <c r="E164" s="47" t="s">
        <v>13</v>
      </c>
      <c r="F164" s="47">
        <v>26</v>
      </c>
      <c r="G164" s="47">
        <v>0</v>
      </c>
      <c r="H164" s="47">
        <v>0</v>
      </c>
      <c r="I164" s="47">
        <v>347068</v>
      </c>
      <c r="J164" s="47">
        <v>7.775</v>
      </c>
      <c r="L164" s="47" t="s">
        <v>15</v>
      </c>
    </row>
    <row r="165" spans="1:12">
      <c r="A165" s="47">
        <v>164</v>
      </c>
      <c r="B165" s="47">
        <v>0</v>
      </c>
      <c r="C165" s="47">
        <v>3</v>
      </c>
      <c r="D165" s="47" t="s">
        <v>256</v>
      </c>
      <c r="E165" s="47" t="s">
        <v>13</v>
      </c>
      <c r="F165" s="47">
        <v>17</v>
      </c>
      <c r="G165" s="47">
        <v>0</v>
      </c>
      <c r="H165" s="47">
        <v>0</v>
      </c>
      <c r="I165" s="47">
        <v>315093</v>
      </c>
      <c r="J165" s="47">
        <v>8.6625</v>
      </c>
      <c r="L165" s="47" t="s">
        <v>15</v>
      </c>
    </row>
    <row r="166" spans="1:12">
      <c r="A166" s="47">
        <v>165</v>
      </c>
      <c r="B166" s="47">
        <v>0</v>
      </c>
      <c r="C166" s="47">
        <v>3</v>
      </c>
      <c r="D166" s="47" t="s">
        <v>257</v>
      </c>
      <c r="E166" s="47" t="s">
        <v>13</v>
      </c>
      <c r="F166" s="47">
        <v>1</v>
      </c>
      <c r="G166" s="47">
        <v>4</v>
      </c>
      <c r="H166" s="47">
        <v>1</v>
      </c>
      <c r="I166" s="47">
        <v>3101295</v>
      </c>
      <c r="J166" s="47">
        <v>39.6875</v>
      </c>
      <c r="L166" s="47" t="s">
        <v>15</v>
      </c>
    </row>
    <row r="167" spans="1:12">
      <c r="A167" s="47">
        <v>166</v>
      </c>
      <c r="B167" s="47">
        <v>1</v>
      </c>
      <c r="C167" s="47">
        <v>3</v>
      </c>
      <c r="D167" s="47" t="s">
        <v>258</v>
      </c>
      <c r="E167" s="47" t="s">
        <v>13</v>
      </c>
      <c r="F167" s="47">
        <v>9</v>
      </c>
      <c r="G167" s="47">
        <v>0</v>
      </c>
      <c r="H167" s="47">
        <v>2</v>
      </c>
      <c r="I167" s="47">
        <v>363291</v>
      </c>
      <c r="J167" s="47">
        <v>20.525</v>
      </c>
      <c r="L167" s="47" t="s">
        <v>15</v>
      </c>
    </row>
    <row r="168" spans="1:12">
      <c r="A168" s="47">
        <v>167</v>
      </c>
      <c r="B168" s="47">
        <v>1</v>
      </c>
      <c r="C168" s="47">
        <v>1</v>
      </c>
      <c r="D168" s="47" t="s">
        <v>259</v>
      </c>
      <c r="E168" s="47" t="s">
        <v>17</v>
      </c>
      <c r="G168" s="47">
        <v>0</v>
      </c>
      <c r="H168" s="47">
        <v>1</v>
      </c>
      <c r="I168" s="47">
        <v>113505</v>
      </c>
      <c r="J168" s="47">
        <v>55</v>
      </c>
      <c r="K168" s="47" t="s">
        <v>260</v>
      </c>
      <c r="L168" s="47" t="s">
        <v>15</v>
      </c>
    </row>
    <row r="169" spans="1:12">
      <c r="A169" s="47">
        <v>168</v>
      </c>
      <c r="B169" s="47">
        <v>0</v>
      </c>
      <c r="C169" s="47">
        <v>3</v>
      </c>
      <c r="D169" s="47" t="s">
        <v>261</v>
      </c>
      <c r="E169" s="47" t="s">
        <v>17</v>
      </c>
      <c r="F169" s="47">
        <v>45</v>
      </c>
      <c r="G169" s="47">
        <v>1</v>
      </c>
      <c r="H169" s="47">
        <v>4</v>
      </c>
      <c r="I169" s="47">
        <v>347088</v>
      </c>
      <c r="J169" s="47">
        <v>27.9</v>
      </c>
      <c r="L169" s="47" t="s">
        <v>15</v>
      </c>
    </row>
    <row r="170" spans="1:12">
      <c r="A170" s="47">
        <v>169</v>
      </c>
      <c r="B170" s="47">
        <v>0</v>
      </c>
      <c r="C170" s="47">
        <v>1</v>
      </c>
      <c r="D170" s="47" t="s">
        <v>262</v>
      </c>
      <c r="E170" s="47" t="s">
        <v>13</v>
      </c>
      <c r="G170" s="47">
        <v>0</v>
      </c>
      <c r="H170" s="47">
        <v>0</v>
      </c>
      <c r="I170" s="47" t="s">
        <v>263</v>
      </c>
      <c r="J170" s="47">
        <v>25.925</v>
      </c>
      <c r="L170" s="47" t="s">
        <v>15</v>
      </c>
    </row>
    <row r="171" spans="1:12">
      <c r="A171" s="47">
        <v>170</v>
      </c>
      <c r="B171" s="47">
        <v>0</v>
      </c>
      <c r="C171" s="47">
        <v>3</v>
      </c>
      <c r="D171" s="47" t="s">
        <v>264</v>
      </c>
      <c r="E171" s="47" t="s">
        <v>13</v>
      </c>
      <c r="F171" s="47">
        <v>28</v>
      </c>
      <c r="G171" s="47">
        <v>0</v>
      </c>
      <c r="H171" s="47">
        <v>0</v>
      </c>
      <c r="I171" s="47">
        <v>1601</v>
      </c>
      <c r="J171" s="47">
        <v>56.4958</v>
      </c>
      <c r="L171" s="47" t="s">
        <v>15</v>
      </c>
    </row>
    <row r="172" spans="1:12">
      <c r="A172" s="47">
        <v>171</v>
      </c>
      <c r="B172" s="47">
        <v>0</v>
      </c>
      <c r="C172" s="47">
        <v>1</v>
      </c>
      <c r="D172" s="47" t="s">
        <v>265</v>
      </c>
      <c r="E172" s="47" t="s">
        <v>13</v>
      </c>
      <c r="F172" s="47">
        <v>61</v>
      </c>
      <c r="G172" s="47">
        <v>0</v>
      </c>
      <c r="H172" s="47">
        <v>0</v>
      </c>
      <c r="I172" s="47">
        <v>111240</v>
      </c>
      <c r="J172" s="47">
        <v>33.5</v>
      </c>
      <c r="K172" s="47" t="s">
        <v>266</v>
      </c>
      <c r="L172" s="47" t="s">
        <v>15</v>
      </c>
    </row>
    <row r="173" spans="1:12">
      <c r="A173" s="47">
        <v>172</v>
      </c>
      <c r="B173" s="47">
        <v>0</v>
      </c>
      <c r="C173" s="47">
        <v>3</v>
      </c>
      <c r="D173" s="47" t="s">
        <v>267</v>
      </c>
      <c r="E173" s="47" t="s">
        <v>13</v>
      </c>
      <c r="F173" s="47">
        <v>4</v>
      </c>
      <c r="G173" s="47">
        <v>4</v>
      </c>
      <c r="H173" s="47">
        <v>1</v>
      </c>
      <c r="I173" s="47">
        <v>382652</v>
      </c>
      <c r="J173" s="47">
        <v>29.125</v>
      </c>
      <c r="L173" s="47" t="s">
        <v>27</v>
      </c>
    </row>
    <row r="174" spans="1:12">
      <c r="A174" s="47">
        <v>173</v>
      </c>
      <c r="B174" s="47">
        <v>1</v>
      </c>
      <c r="C174" s="47">
        <v>3</v>
      </c>
      <c r="D174" s="47" t="s">
        <v>268</v>
      </c>
      <c r="E174" s="47" t="s">
        <v>17</v>
      </c>
      <c r="F174" s="47">
        <v>1</v>
      </c>
      <c r="G174" s="47">
        <v>1</v>
      </c>
      <c r="H174" s="47">
        <v>1</v>
      </c>
      <c r="I174" s="47">
        <v>347742</v>
      </c>
      <c r="J174" s="47">
        <v>11.1333</v>
      </c>
      <c r="L174" s="47" t="s">
        <v>15</v>
      </c>
    </row>
    <row r="175" spans="1:12">
      <c r="A175" s="47">
        <v>174</v>
      </c>
      <c r="B175" s="47">
        <v>0</v>
      </c>
      <c r="C175" s="47">
        <v>3</v>
      </c>
      <c r="D175" s="47" t="s">
        <v>269</v>
      </c>
      <c r="E175" s="47" t="s">
        <v>13</v>
      </c>
      <c r="F175" s="47">
        <v>21</v>
      </c>
      <c r="G175" s="47">
        <v>0</v>
      </c>
      <c r="H175" s="47">
        <v>0</v>
      </c>
      <c r="I175" s="47" t="s">
        <v>270</v>
      </c>
      <c r="J175" s="47">
        <v>7.925</v>
      </c>
      <c r="L175" s="47" t="s">
        <v>15</v>
      </c>
    </row>
    <row r="176" spans="1:12">
      <c r="A176" s="47">
        <v>175</v>
      </c>
      <c r="B176" s="47">
        <v>0</v>
      </c>
      <c r="C176" s="47">
        <v>1</v>
      </c>
      <c r="D176" s="47" t="s">
        <v>271</v>
      </c>
      <c r="E176" s="47" t="s">
        <v>13</v>
      </c>
      <c r="F176" s="47">
        <v>56</v>
      </c>
      <c r="G176" s="47">
        <v>0</v>
      </c>
      <c r="H176" s="47">
        <v>0</v>
      </c>
      <c r="I176" s="47">
        <v>17764</v>
      </c>
      <c r="J176" s="47">
        <v>30.6958</v>
      </c>
      <c r="K176" s="47" t="s">
        <v>272</v>
      </c>
      <c r="L176" s="47" t="s">
        <v>20</v>
      </c>
    </row>
    <row r="177" spans="1:12">
      <c r="A177" s="47">
        <v>176</v>
      </c>
      <c r="B177" s="47">
        <v>0</v>
      </c>
      <c r="C177" s="47">
        <v>3</v>
      </c>
      <c r="D177" s="47" t="s">
        <v>273</v>
      </c>
      <c r="E177" s="47" t="s">
        <v>13</v>
      </c>
      <c r="F177" s="47">
        <v>18</v>
      </c>
      <c r="G177" s="47">
        <v>1</v>
      </c>
      <c r="H177" s="47">
        <v>1</v>
      </c>
      <c r="I177" s="47">
        <v>350404</v>
      </c>
      <c r="J177" s="47">
        <v>7.8542</v>
      </c>
      <c r="L177" s="47" t="s">
        <v>15</v>
      </c>
    </row>
    <row r="178" spans="1:12">
      <c r="A178" s="47">
        <v>177</v>
      </c>
      <c r="B178" s="47">
        <v>0</v>
      </c>
      <c r="C178" s="47">
        <v>3</v>
      </c>
      <c r="D178" s="47" t="s">
        <v>274</v>
      </c>
      <c r="E178" s="47" t="s">
        <v>13</v>
      </c>
      <c r="G178" s="47">
        <v>3</v>
      </c>
      <c r="H178" s="47">
        <v>1</v>
      </c>
      <c r="I178" s="47">
        <v>4133</v>
      </c>
      <c r="J178" s="47">
        <v>25.4667</v>
      </c>
      <c r="L178" s="47" t="s">
        <v>15</v>
      </c>
    </row>
    <row r="179" spans="1:12">
      <c r="A179" s="47">
        <v>178</v>
      </c>
      <c r="B179" s="47">
        <v>0</v>
      </c>
      <c r="C179" s="47">
        <v>1</v>
      </c>
      <c r="D179" s="47" t="s">
        <v>275</v>
      </c>
      <c r="E179" s="47" t="s">
        <v>17</v>
      </c>
      <c r="F179" s="47">
        <v>50</v>
      </c>
      <c r="G179" s="47">
        <v>0</v>
      </c>
      <c r="H179" s="47">
        <v>0</v>
      </c>
      <c r="I179" s="47" t="s">
        <v>276</v>
      </c>
      <c r="J179" s="47">
        <v>28.7125</v>
      </c>
      <c r="K179" s="47" t="s">
        <v>277</v>
      </c>
      <c r="L179" s="47" t="s">
        <v>20</v>
      </c>
    </row>
    <row r="180" spans="1:12">
      <c r="A180" s="47">
        <v>179</v>
      </c>
      <c r="B180" s="47">
        <v>0</v>
      </c>
      <c r="C180" s="47">
        <v>2</v>
      </c>
      <c r="D180" s="47" t="s">
        <v>278</v>
      </c>
      <c r="E180" s="47" t="s">
        <v>13</v>
      </c>
      <c r="F180" s="47">
        <v>30</v>
      </c>
      <c r="G180" s="47">
        <v>0</v>
      </c>
      <c r="H180" s="47">
        <v>0</v>
      </c>
      <c r="I180" s="47">
        <v>250653</v>
      </c>
      <c r="J180" s="47">
        <v>13</v>
      </c>
      <c r="L180" s="47" t="s">
        <v>15</v>
      </c>
    </row>
    <row r="181" spans="1:12">
      <c r="A181" s="47">
        <v>180</v>
      </c>
      <c r="B181" s="47">
        <v>0</v>
      </c>
      <c r="C181" s="47">
        <v>3</v>
      </c>
      <c r="D181" s="47" t="s">
        <v>279</v>
      </c>
      <c r="E181" s="47" t="s">
        <v>13</v>
      </c>
      <c r="F181" s="47">
        <v>36</v>
      </c>
      <c r="G181" s="47">
        <v>0</v>
      </c>
      <c r="H181" s="47">
        <v>0</v>
      </c>
      <c r="I181" s="47" t="s">
        <v>280</v>
      </c>
      <c r="J181" s="47">
        <v>0</v>
      </c>
      <c r="L181" s="47" t="s">
        <v>15</v>
      </c>
    </row>
    <row r="182" spans="1:12">
      <c r="A182" s="47">
        <v>181</v>
      </c>
      <c r="B182" s="47">
        <v>0</v>
      </c>
      <c r="C182" s="47">
        <v>3</v>
      </c>
      <c r="D182" s="47" t="s">
        <v>281</v>
      </c>
      <c r="E182" s="47" t="s">
        <v>17</v>
      </c>
      <c r="G182" s="47">
        <v>8</v>
      </c>
      <c r="H182" s="47">
        <v>2</v>
      </c>
      <c r="I182" s="47" t="s">
        <v>251</v>
      </c>
      <c r="J182" s="47">
        <v>69.55</v>
      </c>
      <c r="L182" s="47" t="s">
        <v>15</v>
      </c>
    </row>
    <row r="183" spans="1:12">
      <c r="A183" s="47">
        <v>182</v>
      </c>
      <c r="B183" s="47">
        <v>0</v>
      </c>
      <c r="C183" s="47">
        <v>2</v>
      </c>
      <c r="D183" s="47" t="s">
        <v>282</v>
      </c>
      <c r="E183" s="47" t="s">
        <v>13</v>
      </c>
      <c r="G183" s="47">
        <v>0</v>
      </c>
      <c r="H183" s="47">
        <v>0</v>
      </c>
      <c r="I183" s="47" t="s">
        <v>283</v>
      </c>
      <c r="J183" s="47">
        <v>15.05</v>
      </c>
      <c r="L183" s="47" t="s">
        <v>20</v>
      </c>
    </row>
    <row r="184" spans="1:12">
      <c r="A184" s="47">
        <v>183</v>
      </c>
      <c r="B184" s="47">
        <v>0</v>
      </c>
      <c r="C184" s="47">
        <v>3</v>
      </c>
      <c r="D184" s="47" t="s">
        <v>284</v>
      </c>
      <c r="E184" s="47" t="s">
        <v>13</v>
      </c>
      <c r="F184" s="47">
        <v>9</v>
      </c>
      <c r="G184" s="47">
        <v>4</v>
      </c>
      <c r="H184" s="47">
        <v>2</v>
      </c>
      <c r="I184" s="47">
        <v>347077</v>
      </c>
      <c r="J184" s="47">
        <v>31.3875</v>
      </c>
      <c r="L184" s="47" t="s">
        <v>15</v>
      </c>
    </row>
    <row r="185" spans="1:12">
      <c r="A185" s="47">
        <v>184</v>
      </c>
      <c r="B185" s="47">
        <v>1</v>
      </c>
      <c r="C185" s="47">
        <v>2</v>
      </c>
      <c r="D185" s="47" t="s">
        <v>285</v>
      </c>
      <c r="E185" s="47" t="s">
        <v>13</v>
      </c>
      <c r="F185" s="47">
        <v>1</v>
      </c>
      <c r="G185" s="47">
        <v>2</v>
      </c>
      <c r="H185" s="47">
        <v>1</v>
      </c>
      <c r="I185" s="47">
        <v>230136</v>
      </c>
      <c r="J185" s="47">
        <v>39</v>
      </c>
      <c r="K185" s="47" t="s">
        <v>286</v>
      </c>
      <c r="L185" s="47" t="s">
        <v>15</v>
      </c>
    </row>
    <row r="186" spans="1:12">
      <c r="A186" s="47">
        <v>185</v>
      </c>
      <c r="B186" s="47">
        <v>1</v>
      </c>
      <c r="C186" s="47">
        <v>3</v>
      </c>
      <c r="D186" s="47" t="s">
        <v>287</v>
      </c>
      <c r="E186" s="47" t="s">
        <v>17</v>
      </c>
      <c r="F186" s="47">
        <v>4</v>
      </c>
      <c r="G186" s="47">
        <v>0</v>
      </c>
      <c r="H186" s="47">
        <v>2</v>
      </c>
      <c r="I186" s="47">
        <v>315153</v>
      </c>
      <c r="J186" s="47">
        <v>22.025</v>
      </c>
      <c r="L186" s="47" t="s">
        <v>15</v>
      </c>
    </row>
    <row r="187" spans="1:12">
      <c r="A187" s="47">
        <v>186</v>
      </c>
      <c r="B187" s="47">
        <v>0</v>
      </c>
      <c r="C187" s="47">
        <v>1</v>
      </c>
      <c r="D187" s="47" t="s">
        <v>288</v>
      </c>
      <c r="E187" s="47" t="s">
        <v>13</v>
      </c>
      <c r="G187" s="47">
        <v>0</v>
      </c>
      <c r="H187" s="47">
        <v>0</v>
      </c>
      <c r="I187" s="47">
        <v>113767</v>
      </c>
      <c r="J187" s="47">
        <v>50</v>
      </c>
      <c r="K187" s="47" t="s">
        <v>289</v>
      </c>
      <c r="L187" s="47" t="s">
        <v>15</v>
      </c>
    </row>
    <row r="188" spans="1:12">
      <c r="A188" s="47">
        <v>187</v>
      </c>
      <c r="B188" s="47">
        <v>1</v>
      </c>
      <c r="C188" s="47">
        <v>3</v>
      </c>
      <c r="D188" s="47" t="s">
        <v>290</v>
      </c>
      <c r="E188" s="47" t="s">
        <v>17</v>
      </c>
      <c r="G188" s="47">
        <v>1</v>
      </c>
      <c r="H188" s="47">
        <v>0</v>
      </c>
      <c r="I188" s="47">
        <v>370365</v>
      </c>
      <c r="J188" s="47">
        <v>15.5</v>
      </c>
      <c r="L188" s="47" t="s">
        <v>27</v>
      </c>
    </row>
    <row r="189" spans="1:12">
      <c r="A189" s="47">
        <v>188</v>
      </c>
      <c r="B189" s="47">
        <v>1</v>
      </c>
      <c r="C189" s="47">
        <v>1</v>
      </c>
      <c r="D189" s="47" t="s">
        <v>291</v>
      </c>
      <c r="E189" s="47" t="s">
        <v>13</v>
      </c>
      <c r="F189" s="47">
        <v>45</v>
      </c>
      <c r="G189" s="47">
        <v>0</v>
      </c>
      <c r="H189" s="47">
        <v>0</v>
      </c>
      <c r="I189" s="47">
        <v>111428</v>
      </c>
      <c r="J189" s="47">
        <v>26.55</v>
      </c>
      <c r="L189" s="47" t="s">
        <v>15</v>
      </c>
    </row>
    <row r="190" spans="1:12">
      <c r="A190" s="47">
        <v>189</v>
      </c>
      <c r="B190" s="47">
        <v>0</v>
      </c>
      <c r="C190" s="47">
        <v>3</v>
      </c>
      <c r="D190" s="47" t="s">
        <v>292</v>
      </c>
      <c r="E190" s="47" t="s">
        <v>13</v>
      </c>
      <c r="F190" s="47">
        <v>40</v>
      </c>
      <c r="G190" s="47">
        <v>1</v>
      </c>
      <c r="H190" s="47">
        <v>1</v>
      </c>
      <c r="I190" s="47">
        <v>364849</v>
      </c>
      <c r="J190" s="47">
        <v>15.5</v>
      </c>
      <c r="L190" s="47" t="s">
        <v>27</v>
      </c>
    </row>
    <row r="191" spans="1:12">
      <c r="A191" s="47">
        <v>190</v>
      </c>
      <c r="B191" s="47">
        <v>0</v>
      </c>
      <c r="C191" s="47">
        <v>3</v>
      </c>
      <c r="D191" s="47" t="s">
        <v>293</v>
      </c>
      <c r="E191" s="47" t="s">
        <v>13</v>
      </c>
      <c r="F191" s="47">
        <v>36</v>
      </c>
      <c r="G191" s="47">
        <v>0</v>
      </c>
      <c r="H191" s="47">
        <v>0</v>
      </c>
      <c r="I191" s="47">
        <v>349247</v>
      </c>
      <c r="J191" s="47">
        <v>7.8958</v>
      </c>
      <c r="L191" s="47" t="s">
        <v>15</v>
      </c>
    </row>
    <row r="192" spans="1:12">
      <c r="A192" s="47">
        <v>191</v>
      </c>
      <c r="B192" s="47">
        <v>1</v>
      </c>
      <c r="C192" s="47">
        <v>2</v>
      </c>
      <c r="D192" s="47" t="s">
        <v>294</v>
      </c>
      <c r="E192" s="47" t="s">
        <v>17</v>
      </c>
      <c r="F192" s="47">
        <v>32</v>
      </c>
      <c r="G192" s="47">
        <v>0</v>
      </c>
      <c r="H192" s="47">
        <v>0</v>
      </c>
      <c r="I192" s="47">
        <v>234604</v>
      </c>
      <c r="J192" s="47">
        <v>13</v>
      </c>
      <c r="L192" s="47" t="s">
        <v>15</v>
      </c>
    </row>
    <row r="193" spans="1:12">
      <c r="A193" s="47">
        <v>192</v>
      </c>
      <c r="B193" s="47">
        <v>0</v>
      </c>
      <c r="C193" s="47">
        <v>2</v>
      </c>
      <c r="D193" s="47" t="s">
        <v>295</v>
      </c>
      <c r="E193" s="47" t="s">
        <v>13</v>
      </c>
      <c r="F193" s="47">
        <v>19</v>
      </c>
      <c r="G193" s="47">
        <v>0</v>
      </c>
      <c r="H193" s="47">
        <v>0</v>
      </c>
      <c r="I193" s="47">
        <v>28424</v>
      </c>
      <c r="J193" s="47">
        <v>13</v>
      </c>
      <c r="L193" s="47" t="s">
        <v>15</v>
      </c>
    </row>
    <row r="194" spans="1:12">
      <c r="A194" s="47">
        <v>193</v>
      </c>
      <c r="B194" s="47">
        <v>1</v>
      </c>
      <c r="C194" s="47">
        <v>3</v>
      </c>
      <c r="D194" s="47" t="s">
        <v>296</v>
      </c>
      <c r="E194" s="47" t="s">
        <v>17</v>
      </c>
      <c r="F194" s="47">
        <v>19</v>
      </c>
      <c r="G194" s="47">
        <v>1</v>
      </c>
      <c r="H194" s="47">
        <v>0</v>
      </c>
      <c r="I194" s="47">
        <v>350046</v>
      </c>
      <c r="J194" s="47">
        <v>7.8542</v>
      </c>
      <c r="L194" s="47" t="s">
        <v>15</v>
      </c>
    </row>
    <row r="195" spans="1:12">
      <c r="A195" s="47">
        <v>194</v>
      </c>
      <c r="B195" s="47">
        <v>1</v>
      </c>
      <c r="C195" s="47">
        <v>2</v>
      </c>
      <c r="D195" s="47" t="s">
        <v>297</v>
      </c>
      <c r="E195" s="47" t="s">
        <v>13</v>
      </c>
      <c r="F195" s="47">
        <v>3</v>
      </c>
      <c r="G195" s="47">
        <v>1</v>
      </c>
      <c r="H195" s="47">
        <v>1</v>
      </c>
      <c r="I195" s="47">
        <v>230080</v>
      </c>
      <c r="J195" s="47">
        <v>26</v>
      </c>
      <c r="K195" s="47" t="s">
        <v>232</v>
      </c>
      <c r="L195" s="47" t="s">
        <v>15</v>
      </c>
    </row>
    <row r="196" spans="1:12">
      <c r="A196" s="47">
        <v>195</v>
      </c>
      <c r="B196" s="47">
        <v>1</v>
      </c>
      <c r="C196" s="47">
        <v>1</v>
      </c>
      <c r="D196" s="47" t="s">
        <v>298</v>
      </c>
      <c r="E196" s="47" t="s">
        <v>17</v>
      </c>
      <c r="F196" s="47">
        <v>44</v>
      </c>
      <c r="G196" s="47">
        <v>0</v>
      </c>
      <c r="H196" s="47">
        <v>0</v>
      </c>
      <c r="I196" s="47" t="s">
        <v>299</v>
      </c>
      <c r="J196" s="47">
        <v>27.7208</v>
      </c>
      <c r="K196" s="47" t="s">
        <v>300</v>
      </c>
      <c r="L196" s="47" t="s">
        <v>20</v>
      </c>
    </row>
    <row r="197" spans="1:12">
      <c r="A197" s="47">
        <v>196</v>
      </c>
      <c r="B197" s="47">
        <v>1</v>
      </c>
      <c r="C197" s="47">
        <v>1</v>
      </c>
      <c r="D197" s="47" t="s">
        <v>301</v>
      </c>
      <c r="E197" s="47" t="s">
        <v>17</v>
      </c>
      <c r="F197" s="47">
        <v>58</v>
      </c>
      <c r="G197" s="47">
        <v>0</v>
      </c>
      <c r="H197" s="47">
        <v>0</v>
      </c>
      <c r="I197" s="47" t="s">
        <v>63</v>
      </c>
      <c r="J197" s="47">
        <v>146.5208</v>
      </c>
      <c r="K197" s="47" t="s">
        <v>302</v>
      </c>
      <c r="L197" s="47" t="s">
        <v>20</v>
      </c>
    </row>
    <row r="198" spans="1:12">
      <c r="A198" s="47">
        <v>197</v>
      </c>
      <c r="B198" s="47">
        <v>0</v>
      </c>
      <c r="C198" s="47">
        <v>3</v>
      </c>
      <c r="D198" s="47" t="s">
        <v>303</v>
      </c>
      <c r="E198" s="47" t="s">
        <v>13</v>
      </c>
      <c r="G198" s="47">
        <v>0</v>
      </c>
      <c r="H198" s="47">
        <v>0</v>
      </c>
      <c r="I198" s="47">
        <v>368703</v>
      </c>
      <c r="J198" s="47">
        <v>7.75</v>
      </c>
      <c r="L198" s="47" t="s">
        <v>27</v>
      </c>
    </row>
    <row r="199" spans="1:12">
      <c r="A199" s="47">
        <v>198</v>
      </c>
      <c r="B199" s="47">
        <v>0</v>
      </c>
      <c r="C199" s="47">
        <v>3</v>
      </c>
      <c r="D199" s="47" t="s">
        <v>304</v>
      </c>
      <c r="E199" s="47" t="s">
        <v>13</v>
      </c>
      <c r="F199" s="47">
        <v>42</v>
      </c>
      <c r="G199" s="47">
        <v>0</v>
      </c>
      <c r="H199" s="47">
        <v>1</v>
      </c>
      <c r="I199" s="47">
        <v>4579</v>
      </c>
      <c r="J199" s="47">
        <v>8.4042</v>
      </c>
      <c r="L199" s="47" t="s">
        <v>15</v>
      </c>
    </row>
    <row r="200" spans="1:12">
      <c r="A200" s="47">
        <v>199</v>
      </c>
      <c r="B200" s="47">
        <v>1</v>
      </c>
      <c r="C200" s="47">
        <v>3</v>
      </c>
      <c r="D200" s="47" t="s">
        <v>305</v>
      </c>
      <c r="E200" s="47" t="s">
        <v>17</v>
      </c>
      <c r="G200" s="47">
        <v>0</v>
      </c>
      <c r="H200" s="47">
        <v>0</v>
      </c>
      <c r="I200" s="47">
        <v>370370</v>
      </c>
      <c r="J200" s="47">
        <v>7.75</v>
      </c>
      <c r="L200" s="47" t="s">
        <v>27</v>
      </c>
    </row>
    <row r="201" spans="1:12">
      <c r="A201" s="47">
        <v>200</v>
      </c>
      <c r="B201" s="47">
        <v>0</v>
      </c>
      <c r="C201" s="47">
        <v>2</v>
      </c>
      <c r="D201" s="47" t="s">
        <v>306</v>
      </c>
      <c r="E201" s="47" t="s">
        <v>17</v>
      </c>
      <c r="F201" s="47">
        <v>24</v>
      </c>
      <c r="G201" s="47">
        <v>0</v>
      </c>
      <c r="H201" s="47">
        <v>0</v>
      </c>
      <c r="I201" s="47">
        <v>248747</v>
      </c>
      <c r="J201" s="47">
        <v>13</v>
      </c>
      <c r="L201" s="47" t="s">
        <v>15</v>
      </c>
    </row>
    <row r="202" spans="1:12">
      <c r="A202" s="47">
        <v>201</v>
      </c>
      <c r="B202" s="47">
        <v>0</v>
      </c>
      <c r="C202" s="47">
        <v>3</v>
      </c>
      <c r="D202" s="47" t="s">
        <v>307</v>
      </c>
      <c r="E202" s="47" t="s">
        <v>13</v>
      </c>
      <c r="F202" s="47">
        <v>28</v>
      </c>
      <c r="G202" s="47">
        <v>0</v>
      </c>
      <c r="H202" s="47">
        <v>0</v>
      </c>
      <c r="I202" s="47">
        <v>345770</v>
      </c>
      <c r="J202" s="47">
        <v>9.5</v>
      </c>
      <c r="L202" s="47" t="s">
        <v>15</v>
      </c>
    </row>
    <row r="203" spans="1:12">
      <c r="A203" s="47">
        <v>202</v>
      </c>
      <c r="B203" s="47">
        <v>0</v>
      </c>
      <c r="C203" s="47">
        <v>3</v>
      </c>
      <c r="D203" s="47" t="s">
        <v>308</v>
      </c>
      <c r="E203" s="47" t="s">
        <v>13</v>
      </c>
      <c r="G203" s="47">
        <v>8</v>
      </c>
      <c r="H203" s="47">
        <v>2</v>
      </c>
      <c r="I203" s="47" t="s">
        <v>251</v>
      </c>
      <c r="J203" s="47">
        <v>69.55</v>
      </c>
      <c r="L203" s="47" t="s">
        <v>15</v>
      </c>
    </row>
    <row r="204" spans="1:12">
      <c r="A204" s="47">
        <v>203</v>
      </c>
      <c r="B204" s="47">
        <v>0</v>
      </c>
      <c r="C204" s="47">
        <v>3</v>
      </c>
      <c r="D204" s="47" t="s">
        <v>309</v>
      </c>
      <c r="E204" s="47" t="s">
        <v>13</v>
      </c>
      <c r="F204" s="47">
        <v>34</v>
      </c>
      <c r="G204" s="47">
        <v>0</v>
      </c>
      <c r="H204" s="47">
        <v>0</v>
      </c>
      <c r="I204" s="47">
        <v>3101264</v>
      </c>
      <c r="J204" s="47">
        <v>6.4958</v>
      </c>
      <c r="L204" s="47" t="s">
        <v>15</v>
      </c>
    </row>
    <row r="205" spans="1:12">
      <c r="A205" s="47">
        <v>204</v>
      </c>
      <c r="B205" s="47">
        <v>0</v>
      </c>
      <c r="C205" s="47">
        <v>3</v>
      </c>
      <c r="D205" s="47" t="s">
        <v>310</v>
      </c>
      <c r="E205" s="47" t="s">
        <v>13</v>
      </c>
      <c r="F205" s="47">
        <v>45.5</v>
      </c>
      <c r="G205" s="47">
        <v>0</v>
      </c>
      <c r="H205" s="47">
        <v>0</v>
      </c>
      <c r="I205" s="47">
        <v>2628</v>
      </c>
      <c r="J205" s="47">
        <v>7.225</v>
      </c>
      <c r="L205" s="47" t="s">
        <v>20</v>
      </c>
    </row>
    <row r="206" spans="1:12">
      <c r="A206" s="47">
        <v>205</v>
      </c>
      <c r="B206" s="47">
        <v>1</v>
      </c>
      <c r="C206" s="47">
        <v>3</v>
      </c>
      <c r="D206" s="47" t="s">
        <v>311</v>
      </c>
      <c r="E206" s="47" t="s">
        <v>13</v>
      </c>
      <c r="F206" s="47">
        <v>18</v>
      </c>
      <c r="G206" s="47">
        <v>0</v>
      </c>
      <c r="H206" s="47">
        <v>0</v>
      </c>
      <c r="I206" s="47" t="s">
        <v>312</v>
      </c>
      <c r="J206" s="47">
        <v>8.05</v>
      </c>
      <c r="L206" s="47" t="s">
        <v>15</v>
      </c>
    </row>
    <row r="207" spans="1:12">
      <c r="A207" s="47">
        <v>206</v>
      </c>
      <c r="B207" s="47">
        <v>0</v>
      </c>
      <c r="C207" s="47">
        <v>3</v>
      </c>
      <c r="D207" s="47" t="s">
        <v>313</v>
      </c>
      <c r="E207" s="47" t="s">
        <v>17</v>
      </c>
      <c r="F207" s="47">
        <v>2</v>
      </c>
      <c r="G207" s="47">
        <v>0</v>
      </c>
      <c r="H207" s="47">
        <v>1</v>
      </c>
      <c r="I207" s="47">
        <v>347054</v>
      </c>
      <c r="J207" s="47">
        <v>10.4625</v>
      </c>
      <c r="K207" s="47" t="s">
        <v>35</v>
      </c>
      <c r="L207" s="47" t="s">
        <v>15</v>
      </c>
    </row>
    <row r="208" spans="1:12">
      <c r="A208" s="47">
        <v>207</v>
      </c>
      <c r="B208" s="47">
        <v>0</v>
      </c>
      <c r="C208" s="47">
        <v>3</v>
      </c>
      <c r="D208" s="47" t="s">
        <v>314</v>
      </c>
      <c r="E208" s="47" t="s">
        <v>13</v>
      </c>
      <c r="F208" s="47">
        <v>32</v>
      </c>
      <c r="G208" s="47">
        <v>1</v>
      </c>
      <c r="H208" s="47">
        <v>0</v>
      </c>
      <c r="I208" s="47">
        <v>3101278</v>
      </c>
      <c r="J208" s="47">
        <v>15.85</v>
      </c>
      <c r="L208" s="47" t="s">
        <v>15</v>
      </c>
    </row>
    <row r="209" spans="1:12">
      <c r="A209" s="47">
        <v>208</v>
      </c>
      <c r="B209" s="47">
        <v>1</v>
      </c>
      <c r="C209" s="47">
        <v>3</v>
      </c>
      <c r="D209" s="47" t="s">
        <v>315</v>
      </c>
      <c r="E209" s="47" t="s">
        <v>13</v>
      </c>
      <c r="F209" s="47">
        <v>26</v>
      </c>
      <c r="G209" s="47">
        <v>0</v>
      </c>
      <c r="H209" s="47">
        <v>0</v>
      </c>
      <c r="I209" s="47">
        <v>2699</v>
      </c>
      <c r="J209" s="47">
        <v>18.7875</v>
      </c>
      <c r="L209" s="47" t="s">
        <v>20</v>
      </c>
    </row>
    <row r="210" spans="1:12">
      <c r="A210" s="47">
        <v>209</v>
      </c>
      <c r="B210" s="47">
        <v>1</v>
      </c>
      <c r="C210" s="47">
        <v>3</v>
      </c>
      <c r="D210" s="47" t="s">
        <v>316</v>
      </c>
      <c r="E210" s="47" t="s">
        <v>17</v>
      </c>
      <c r="F210" s="47">
        <v>16</v>
      </c>
      <c r="G210" s="47">
        <v>0</v>
      </c>
      <c r="H210" s="47">
        <v>0</v>
      </c>
      <c r="I210" s="47">
        <v>367231</v>
      </c>
      <c r="J210" s="47">
        <v>7.75</v>
      </c>
      <c r="L210" s="47" t="s">
        <v>27</v>
      </c>
    </row>
    <row r="211" spans="1:12">
      <c r="A211" s="47">
        <v>210</v>
      </c>
      <c r="B211" s="47">
        <v>1</v>
      </c>
      <c r="C211" s="47">
        <v>1</v>
      </c>
      <c r="D211" s="47" t="s">
        <v>317</v>
      </c>
      <c r="E211" s="47" t="s">
        <v>13</v>
      </c>
      <c r="F211" s="47">
        <v>40</v>
      </c>
      <c r="G211" s="47">
        <v>0</v>
      </c>
      <c r="H211" s="47">
        <v>0</v>
      </c>
      <c r="I211" s="47">
        <v>112277</v>
      </c>
      <c r="J211" s="47">
        <v>31</v>
      </c>
      <c r="K211" s="47" t="s">
        <v>318</v>
      </c>
      <c r="L211" s="47" t="s">
        <v>20</v>
      </c>
    </row>
    <row r="212" spans="1:12">
      <c r="A212" s="47">
        <v>211</v>
      </c>
      <c r="B212" s="47">
        <v>0</v>
      </c>
      <c r="C212" s="47">
        <v>3</v>
      </c>
      <c r="D212" s="47" t="s">
        <v>319</v>
      </c>
      <c r="E212" s="47" t="s">
        <v>13</v>
      </c>
      <c r="F212" s="47">
        <v>24</v>
      </c>
      <c r="G212" s="47">
        <v>0</v>
      </c>
      <c r="H212" s="47">
        <v>0</v>
      </c>
      <c r="I212" s="47" t="s">
        <v>320</v>
      </c>
      <c r="J212" s="47">
        <v>7.05</v>
      </c>
      <c r="L212" s="47" t="s">
        <v>15</v>
      </c>
    </row>
    <row r="213" spans="1:12">
      <c r="A213" s="47">
        <v>212</v>
      </c>
      <c r="B213" s="47">
        <v>1</v>
      </c>
      <c r="C213" s="47">
        <v>2</v>
      </c>
      <c r="D213" s="47" t="s">
        <v>321</v>
      </c>
      <c r="E213" s="47" t="s">
        <v>17</v>
      </c>
      <c r="F213" s="47">
        <v>35</v>
      </c>
      <c r="G213" s="47">
        <v>0</v>
      </c>
      <c r="H213" s="47">
        <v>0</v>
      </c>
      <c r="I213" s="47" t="s">
        <v>322</v>
      </c>
      <c r="J213" s="47">
        <v>21</v>
      </c>
      <c r="L213" s="47" t="s">
        <v>15</v>
      </c>
    </row>
    <row r="214" spans="1:12">
      <c r="A214" s="47">
        <v>213</v>
      </c>
      <c r="B214" s="47">
        <v>0</v>
      </c>
      <c r="C214" s="47">
        <v>3</v>
      </c>
      <c r="D214" s="47" t="s">
        <v>323</v>
      </c>
      <c r="E214" s="47" t="s">
        <v>13</v>
      </c>
      <c r="F214" s="47">
        <v>22</v>
      </c>
      <c r="G214" s="47">
        <v>0</v>
      </c>
      <c r="H214" s="47">
        <v>0</v>
      </c>
      <c r="I214" s="47" t="s">
        <v>324</v>
      </c>
      <c r="J214" s="47">
        <v>7.25</v>
      </c>
      <c r="L214" s="47" t="s">
        <v>15</v>
      </c>
    </row>
    <row r="215" spans="1:12">
      <c r="A215" s="47">
        <v>214</v>
      </c>
      <c r="B215" s="47">
        <v>0</v>
      </c>
      <c r="C215" s="47">
        <v>2</v>
      </c>
      <c r="D215" s="47" t="s">
        <v>325</v>
      </c>
      <c r="E215" s="47" t="s">
        <v>13</v>
      </c>
      <c r="F215" s="47">
        <v>30</v>
      </c>
      <c r="G215" s="47">
        <v>0</v>
      </c>
      <c r="H215" s="47">
        <v>0</v>
      </c>
      <c r="I215" s="47">
        <v>250646</v>
      </c>
      <c r="J215" s="47">
        <v>13</v>
      </c>
      <c r="L215" s="47" t="s">
        <v>15</v>
      </c>
    </row>
    <row r="216" spans="1:12">
      <c r="A216" s="47">
        <v>215</v>
      </c>
      <c r="B216" s="47">
        <v>0</v>
      </c>
      <c r="C216" s="47">
        <v>3</v>
      </c>
      <c r="D216" s="47" t="s">
        <v>326</v>
      </c>
      <c r="E216" s="47" t="s">
        <v>13</v>
      </c>
      <c r="G216" s="47">
        <v>1</v>
      </c>
      <c r="H216" s="47">
        <v>0</v>
      </c>
      <c r="I216" s="47">
        <v>367229</v>
      </c>
      <c r="J216" s="47">
        <v>7.75</v>
      </c>
      <c r="L216" s="47" t="s">
        <v>27</v>
      </c>
    </row>
    <row r="217" spans="1:12">
      <c r="A217" s="47">
        <v>216</v>
      </c>
      <c r="B217" s="47">
        <v>1</v>
      </c>
      <c r="C217" s="47">
        <v>1</v>
      </c>
      <c r="D217" s="47" t="s">
        <v>327</v>
      </c>
      <c r="E217" s="47" t="s">
        <v>17</v>
      </c>
      <c r="F217" s="47">
        <v>31</v>
      </c>
      <c r="G217" s="47">
        <v>1</v>
      </c>
      <c r="H217" s="47">
        <v>0</v>
      </c>
      <c r="I217" s="47">
        <v>35273</v>
      </c>
      <c r="J217" s="47">
        <v>113.275</v>
      </c>
      <c r="K217" s="47" t="s">
        <v>328</v>
      </c>
      <c r="L217" s="47" t="s">
        <v>20</v>
      </c>
    </row>
    <row r="218" spans="1:12">
      <c r="A218" s="47">
        <v>217</v>
      </c>
      <c r="B218" s="47">
        <v>1</v>
      </c>
      <c r="C218" s="47">
        <v>3</v>
      </c>
      <c r="D218" s="47" t="s">
        <v>329</v>
      </c>
      <c r="E218" s="47" t="s">
        <v>17</v>
      </c>
      <c r="F218" s="47">
        <v>27</v>
      </c>
      <c r="G218" s="47">
        <v>0</v>
      </c>
      <c r="H218" s="47">
        <v>0</v>
      </c>
      <c r="I218" s="47" t="s">
        <v>330</v>
      </c>
      <c r="J218" s="47">
        <v>7.925</v>
      </c>
      <c r="L218" s="47" t="s">
        <v>15</v>
      </c>
    </row>
    <row r="219" spans="1:12">
      <c r="A219" s="47">
        <v>218</v>
      </c>
      <c r="B219" s="47">
        <v>0</v>
      </c>
      <c r="C219" s="47">
        <v>2</v>
      </c>
      <c r="D219" s="47" t="s">
        <v>331</v>
      </c>
      <c r="E219" s="47" t="s">
        <v>13</v>
      </c>
      <c r="F219" s="47">
        <v>42</v>
      </c>
      <c r="G219" s="47">
        <v>1</v>
      </c>
      <c r="H219" s="47">
        <v>0</v>
      </c>
      <c r="I219" s="47">
        <v>243847</v>
      </c>
      <c r="J219" s="47">
        <v>27</v>
      </c>
      <c r="L219" s="47" t="s">
        <v>15</v>
      </c>
    </row>
    <row r="220" spans="1:12">
      <c r="A220" s="47">
        <v>219</v>
      </c>
      <c r="B220" s="47">
        <v>1</v>
      </c>
      <c r="C220" s="47">
        <v>1</v>
      </c>
      <c r="D220" s="47" t="s">
        <v>332</v>
      </c>
      <c r="E220" s="47" t="s">
        <v>17</v>
      </c>
      <c r="F220" s="47">
        <v>32</v>
      </c>
      <c r="G220" s="47">
        <v>0</v>
      </c>
      <c r="H220" s="47">
        <v>0</v>
      </c>
      <c r="I220" s="47">
        <v>11813</v>
      </c>
      <c r="J220" s="47">
        <v>76.2917</v>
      </c>
      <c r="K220" s="47" t="s">
        <v>333</v>
      </c>
      <c r="L220" s="47" t="s">
        <v>20</v>
      </c>
    </row>
    <row r="221" spans="1:12">
      <c r="A221" s="47">
        <v>220</v>
      </c>
      <c r="B221" s="47">
        <v>0</v>
      </c>
      <c r="C221" s="47">
        <v>2</v>
      </c>
      <c r="D221" s="47" t="s">
        <v>334</v>
      </c>
      <c r="E221" s="47" t="s">
        <v>13</v>
      </c>
      <c r="F221" s="47">
        <v>30</v>
      </c>
      <c r="G221" s="47">
        <v>0</v>
      </c>
      <c r="H221" s="47">
        <v>0</v>
      </c>
      <c r="I221" s="47" t="s">
        <v>335</v>
      </c>
      <c r="J221" s="47">
        <v>10.5</v>
      </c>
      <c r="L221" s="47" t="s">
        <v>15</v>
      </c>
    </row>
    <row r="222" spans="1:12">
      <c r="A222" s="47">
        <v>221</v>
      </c>
      <c r="B222" s="47">
        <v>1</v>
      </c>
      <c r="C222" s="47">
        <v>3</v>
      </c>
      <c r="D222" s="47" t="s">
        <v>336</v>
      </c>
      <c r="E222" s="47" t="s">
        <v>13</v>
      </c>
      <c r="F222" s="47">
        <v>16</v>
      </c>
      <c r="G222" s="47">
        <v>0</v>
      </c>
      <c r="H222" s="47">
        <v>0</v>
      </c>
      <c r="I222" s="47" t="s">
        <v>337</v>
      </c>
      <c r="J222" s="47">
        <v>8.05</v>
      </c>
      <c r="L222" s="47" t="s">
        <v>15</v>
      </c>
    </row>
    <row r="223" spans="1:12">
      <c r="A223" s="47">
        <v>222</v>
      </c>
      <c r="B223" s="47">
        <v>0</v>
      </c>
      <c r="C223" s="47">
        <v>2</v>
      </c>
      <c r="D223" s="47" t="s">
        <v>338</v>
      </c>
      <c r="E223" s="47" t="s">
        <v>13</v>
      </c>
      <c r="F223" s="47">
        <v>27</v>
      </c>
      <c r="G223" s="47">
        <v>0</v>
      </c>
      <c r="H223" s="47">
        <v>0</v>
      </c>
      <c r="I223" s="47">
        <v>220367</v>
      </c>
      <c r="J223" s="47">
        <v>13</v>
      </c>
      <c r="L223" s="47" t="s">
        <v>15</v>
      </c>
    </row>
    <row r="224" spans="1:12">
      <c r="A224" s="47">
        <v>223</v>
      </c>
      <c r="B224" s="47">
        <v>0</v>
      </c>
      <c r="C224" s="47">
        <v>3</v>
      </c>
      <c r="D224" s="47" t="s">
        <v>339</v>
      </c>
      <c r="E224" s="47" t="s">
        <v>13</v>
      </c>
      <c r="F224" s="47">
        <v>51</v>
      </c>
      <c r="G224" s="47">
        <v>0</v>
      </c>
      <c r="H224" s="47">
        <v>0</v>
      </c>
      <c r="I224" s="47">
        <v>21440</v>
      </c>
      <c r="J224" s="47">
        <v>8.05</v>
      </c>
      <c r="L224" s="47" t="s">
        <v>15</v>
      </c>
    </row>
    <row r="225" spans="1:12">
      <c r="A225" s="47">
        <v>224</v>
      </c>
      <c r="B225" s="47">
        <v>0</v>
      </c>
      <c r="C225" s="47">
        <v>3</v>
      </c>
      <c r="D225" s="47" t="s">
        <v>340</v>
      </c>
      <c r="E225" s="47" t="s">
        <v>13</v>
      </c>
      <c r="G225" s="47">
        <v>0</v>
      </c>
      <c r="H225" s="47">
        <v>0</v>
      </c>
      <c r="I225" s="47">
        <v>349234</v>
      </c>
      <c r="J225" s="47">
        <v>7.8958</v>
      </c>
      <c r="L225" s="47" t="s">
        <v>15</v>
      </c>
    </row>
    <row r="226" spans="1:12">
      <c r="A226" s="47">
        <v>225</v>
      </c>
      <c r="B226" s="47">
        <v>1</v>
      </c>
      <c r="C226" s="47">
        <v>1</v>
      </c>
      <c r="D226" s="47" t="s">
        <v>341</v>
      </c>
      <c r="E226" s="47" t="s">
        <v>13</v>
      </c>
      <c r="F226" s="47">
        <v>38</v>
      </c>
      <c r="G226" s="47">
        <v>1</v>
      </c>
      <c r="H226" s="47">
        <v>0</v>
      </c>
      <c r="I226" s="47">
        <v>19943</v>
      </c>
      <c r="J226" s="47">
        <v>90</v>
      </c>
      <c r="K226" s="47" t="s">
        <v>342</v>
      </c>
      <c r="L226" s="47" t="s">
        <v>15</v>
      </c>
    </row>
    <row r="227" spans="1:12">
      <c r="A227" s="47">
        <v>226</v>
      </c>
      <c r="B227" s="47">
        <v>0</v>
      </c>
      <c r="C227" s="47">
        <v>3</v>
      </c>
      <c r="D227" s="47" t="s">
        <v>343</v>
      </c>
      <c r="E227" s="47" t="s">
        <v>13</v>
      </c>
      <c r="F227" s="47">
        <v>22</v>
      </c>
      <c r="G227" s="47">
        <v>0</v>
      </c>
      <c r="H227" s="47">
        <v>0</v>
      </c>
      <c r="I227" s="47" t="s">
        <v>344</v>
      </c>
      <c r="J227" s="47">
        <v>9.35</v>
      </c>
      <c r="L227" s="47" t="s">
        <v>15</v>
      </c>
    </row>
    <row r="228" spans="1:12">
      <c r="A228" s="47">
        <v>227</v>
      </c>
      <c r="B228" s="47">
        <v>1</v>
      </c>
      <c r="C228" s="47">
        <v>2</v>
      </c>
      <c r="D228" s="47" t="s">
        <v>345</v>
      </c>
      <c r="E228" s="47" t="s">
        <v>13</v>
      </c>
      <c r="F228" s="47">
        <v>19</v>
      </c>
      <c r="G228" s="47">
        <v>0</v>
      </c>
      <c r="H228" s="47">
        <v>0</v>
      </c>
      <c r="I228" s="47" t="s">
        <v>346</v>
      </c>
      <c r="J228" s="47">
        <v>10.5</v>
      </c>
      <c r="L228" s="47" t="s">
        <v>15</v>
      </c>
    </row>
    <row r="229" spans="1:12">
      <c r="A229" s="47">
        <v>228</v>
      </c>
      <c r="B229" s="47">
        <v>0</v>
      </c>
      <c r="C229" s="47">
        <v>3</v>
      </c>
      <c r="D229" s="47" t="s">
        <v>347</v>
      </c>
      <c r="E229" s="47" t="s">
        <v>13</v>
      </c>
      <c r="F229" s="47">
        <v>20.5</v>
      </c>
      <c r="G229" s="47">
        <v>0</v>
      </c>
      <c r="H229" s="47">
        <v>0</v>
      </c>
      <c r="I229" s="47" t="s">
        <v>348</v>
      </c>
      <c r="J229" s="47">
        <v>7.25</v>
      </c>
      <c r="L229" s="47" t="s">
        <v>15</v>
      </c>
    </row>
    <row r="230" spans="1:12">
      <c r="A230" s="47">
        <v>229</v>
      </c>
      <c r="B230" s="47">
        <v>0</v>
      </c>
      <c r="C230" s="47">
        <v>2</v>
      </c>
      <c r="D230" s="47" t="s">
        <v>349</v>
      </c>
      <c r="E230" s="47" t="s">
        <v>13</v>
      </c>
      <c r="F230" s="47">
        <v>18</v>
      </c>
      <c r="G230" s="47">
        <v>0</v>
      </c>
      <c r="H230" s="47">
        <v>0</v>
      </c>
      <c r="I230" s="47">
        <v>236171</v>
      </c>
      <c r="J230" s="47">
        <v>13</v>
      </c>
      <c r="L230" s="47" t="s">
        <v>15</v>
      </c>
    </row>
    <row r="231" spans="1:12">
      <c r="A231" s="47">
        <v>230</v>
      </c>
      <c r="B231" s="47">
        <v>0</v>
      </c>
      <c r="C231" s="47">
        <v>3</v>
      </c>
      <c r="D231" s="47" t="s">
        <v>350</v>
      </c>
      <c r="E231" s="47" t="s">
        <v>17</v>
      </c>
      <c r="G231" s="47">
        <v>3</v>
      </c>
      <c r="H231" s="47">
        <v>1</v>
      </c>
      <c r="I231" s="47">
        <v>4133</v>
      </c>
      <c r="J231" s="47">
        <v>25.4667</v>
      </c>
      <c r="L231" s="47" t="s">
        <v>15</v>
      </c>
    </row>
    <row r="232" spans="1:12">
      <c r="A232" s="47">
        <v>231</v>
      </c>
      <c r="B232" s="47">
        <v>1</v>
      </c>
      <c r="C232" s="47">
        <v>1</v>
      </c>
      <c r="D232" s="47" t="s">
        <v>351</v>
      </c>
      <c r="E232" s="47" t="s">
        <v>17</v>
      </c>
      <c r="F232" s="47">
        <v>35</v>
      </c>
      <c r="G232" s="47">
        <v>1</v>
      </c>
      <c r="H232" s="47">
        <v>0</v>
      </c>
      <c r="I232" s="47">
        <v>36973</v>
      </c>
      <c r="J232" s="47">
        <v>83.475</v>
      </c>
      <c r="K232" s="47" t="s">
        <v>110</v>
      </c>
      <c r="L232" s="47" t="s">
        <v>15</v>
      </c>
    </row>
    <row r="233" spans="1:12">
      <c r="A233" s="47">
        <v>232</v>
      </c>
      <c r="B233" s="47">
        <v>0</v>
      </c>
      <c r="C233" s="47">
        <v>3</v>
      </c>
      <c r="D233" s="47" t="s">
        <v>352</v>
      </c>
      <c r="E233" s="47" t="s">
        <v>13</v>
      </c>
      <c r="F233" s="47">
        <v>29</v>
      </c>
      <c r="G233" s="47">
        <v>0</v>
      </c>
      <c r="H233" s="47">
        <v>0</v>
      </c>
      <c r="I233" s="47">
        <v>347067</v>
      </c>
      <c r="J233" s="47">
        <v>7.775</v>
      </c>
      <c r="L233" s="47" t="s">
        <v>15</v>
      </c>
    </row>
    <row r="234" spans="1:12">
      <c r="A234" s="47">
        <v>233</v>
      </c>
      <c r="B234" s="47">
        <v>0</v>
      </c>
      <c r="C234" s="47">
        <v>2</v>
      </c>
      <c r="D234" s="47" t="s">
        <v>353</v>
      </c>
      <c r="E234" s="47" t="s">
        <v>13</v>
      </c>
      <c r="F234" s="47">
        <v>59</v>
      </c>
      <c r="G234" s="47">
        <v>0</v>
      </c>
      <c r="H234" s="47">
        <v>0</v>
      </c>
      <c r="I234" s="47">
        <v>237442</v>
      </c>
      <c r="J234" s="47">
        <v>13.5</v>
      </c>
      <c r="L234" s="47" t="s">
        <v>15</v>
      </c>
    </row>
    <row r="235" spans="1:12">
      <c r="A235" s="47">
        <v>234</v>
      </c>
      <c r="B235" s="47">
        <v>1</v>
      </c>
      <c r="C235" s="47">
        <v>3</v>
      </c>
      <c r="D235" s="47" t="s">
        <v>354</v>
      </c>
      <c r="E235" s="47" t="s">
        <v>17</v>
      </c>
      <c r="F235" s="47">
        <v>5</v>
      </c>
      <c r="G235" s="47">
        <v>4</v>
      </c>
      <c r="H235" s="47">
        <v>2</v>
      </c>
      <c r="I235" s="47">
        <v>347077</v>
      </c>
      <c r="J235" s="47">
        <v>31.3875</v>
      </c>
      <c r="L235" s="47" t="s">
        <v>15</v>
      </c>
    </row>
    <row r="236" spans="1:12">
      <c r="A236" s="47">
        <v>235</v>
      </c>
      <c r="B236" s="47">
        <v>0</v>
      </c>
      <c r="C236" s="47">
        <v>2</v>
      </c>
      <c r="D236" s="47" t="s">
        <v>355</v>
      </c>
      <c r="E236" s="47" t="s">
        <v>13</v>
      </c>
      <c r="F236" s="47">
        <v>24</v>
      </c>
      <c r="G236" s="47">
        <v>0</v>
      </c>
      <c r="H236" s="47">
        <v>0</v>
      </c>
      <c r="I236" s="47" t="s">
        <v>356</v>
      </c>
      <c r="J236" s="47">
        <v>10.5</v>
      </c>
      <c r="L236" s="47" t="s">
        <v>15</v>
      </c>
    </row>
    <row r="237" spans="1:12">
      <c r="A237" s="47">
        <v>236</v>
      </c>
      <c r="B237" s="47">
        <v>0</v>
      </c>
      <c r="C237" s="47">
        <v>3</v>
      </c>
      <c r="D237" s="47" t="s">
        <v>357</v>
      </c>
      <c r="E237" s="47" t="s">
        <v>17</v>
      </c>
      <c r="G237" s="47">
        <v>0</v>
      </c>
      <c r="H237" s="47">
        <v>0</v>
      </c>
      <c r="I237" s="47" t="s">
        <v>358</v>
      </c>
      <c r="J237" s="47">
        <v>7.55</v>
      </c>
      <c r="L237" s="47" t="s">
        <v>15</v>
      </c>
    </row>
    <row r="238" spans="1:12">
      <c r="A238" s="47">
        <v>237</v>
      </c>
      <c r="B238" s="47">
        <v>0</v>
      </c>
      <c r="C238" s="47">
        <v>2</v>
      </c>
      <c r="D238" s="47" t="s">
        <v>359</v>
      </c>
      <c r="E238" s="47" t="s">
        <v>13</v>
      </c>
      <c r="F238" s="47">
        <v>44</v>
      </c>
      <c r="G238" s="47">
        <v>1</v>
      </c>
      <c r="H238" s="47">
        <v>0</v>
      </c>
      <c r="I238" s="47">
        <v>26707</v>
      </c>
      <c r="J238" s="47">
        <v>26</v>
      </c>
      <c r="L238" s="47" t="s">
        <v>15</v>
      </c>
    </row>
    <row r="239" spans="1:12">
      <c r="A239" s="47">
        <v>238</v>
      </c>
      <c r="B239" s="47">
        <v>1</v>
      </c>
      <c r="C239" s="47">
        <v>2</v>
      </c>
      <c r="D239" s="47" t="s">
        <v>360</v>
      </c>
      <c r="E239" s="47" t="s">
        <v>17</v>
      </c>
      <c r="F239" s="47">
        <v>8</v>
      </c>
      <c r="G239" s="47">
        <v>0</v>
      </c>
      <c r="H239" s="47">
        <v>2</v>
      </c>
      <c r="I239" s="47" t="s">
        <v>361</v>
      </c>
      <c r="J239" s="47">
        <v>26.25</v>
      </c>
      <c r="L239" s="47" t="s">
        <v>15</v>
      </c>
    </row>
    <row r="240" spans="1:12">
      <c r="A240" s="47">
        <v>239</v>
      </c>
      <c r="B240" s="47">
        <v>0</v>
      </c>
      <c r="C240" s="47">
        <v>2</v>
      </c>
      <c r="D240" s="47" t="s">
        <v>362</v>
      </c>
      <c r="E240" s="47" t="s">
        <v>13</v>
      </c>
      <c r="F240" s="47">
        <v>19</v>
      </c>
      <c r="G240" s="47">
        <v>0</v>
      </c>
      <c r="H240" s="47">
        <v>0</v>
      </c>
      <c r="I240" s="47">
        <v>28665</v>
      </c>
      <c r="J240" s="47">
        <v>10.5</v>
      </c>
      <c r="L240" s="47" t="s">
        <v>15</v>
      </c>
    </row>
    <row r="241" spans="1:12">
      <c r="A241" s="47">
        <v>240</v>
      </c>
      <c r="B241" s="47">
        <v>0</v>
      </c>
      <c r="C241" s="47">
        <v>2</v>
      </c>
      <c r="D241" s="47" t="s">
        <v>363</v>
      </c>
      <c r="E241" s="47" t="s">
        <v>13</v>
      </c>
      <c r="F241" s="47">
        <v>33</v>
      </c>
      <c r="G241" s="47">
        <v>0</v>
      </c>
      <c r="H241" s="47">
        <v>0</v>
      </c>
      <c r="I241" s="47" t="s">
        <v>364</v>
      </c>
      <c r="J241" s="47">
        <v>12.275</v>
      </c>
      <c r="L241" s="47" t="s">
        <v>15</v>
      </c>
    </row>
    <row r="242" spans="1:12">
      <c r="A242" s="47">
        <v>241</v>
      </c>
      <c r="B242" s="47">
        <v>0</v>
      </c>
      <c r="C242" s="47">
        <v>3</v>
      </c>
      <c r="D242" s="47" t="s">
        <v>365</v>
      </c>
      <c r="E242" s="47" t="s">
        <v>17</v>
      </c>
      <c r="G242" s="47">
        <v>1</v>
      </c>
      <c r="H242" s="47">
        <v>0</v>
      </c>
      <c r="I242" s="47">
        <v>2665</v>
      </c>
      <c r="J242" s="47">
        <v>14.4542</v>
      </c>
      <c r="L242" s="47" t="s">
        <v>20</v>
      </c>
    </row>
    <row r="243" spans="1:12">
      <c r="A243" s="47">
        <v>242</v>
      </c>
      <c r="B243" s="47">
        <v>1</v>
      </c>
      <c r="C243" s="47">
        <v>3</v>
      </c>
      <c r="D243" s="47" t="s">
        <v>366</v>
      </c>
      <c r="E243" s="47" t="s">
        <v>17</v>
      </c>
      <c r="G243" s="47">
        <v>1</v>
      </c>
      <c r="H243" s="47">
        <v>0</v>
      </c>
      <c r="I243" s="47">
        <v>367230</v>
      </c>
      <c r="J243" s="47">
        <v>15.5</v>
      </c>
      <c r="L243" s="47" t="s">
        <v>27</v>
      </c>
    </row>
    <row r="244" spans="1:12">
      <c r="A244" s="47">
        <v>243</v>
      </c>
      <c r="B244" s="47">
        <v>0</v>
      </c>
      <c r="C244" s="47">
        <v>2</v>
      </c>
      <c r="D244" s="47" t="s">
        <v>367</v>
      </c>
      <c r="E244" s="47" t="s">
        <v>13</v>
      </c>
      <c r="F244" s="47">
        <v>29</v>
      </c>
      <c r="G244" s="47">
        <v>0</v>
      </c>
      <c r="H244" s="47">
        <v>0</v>
      </c>
      <c r="I244" s="47" t="s">
        <v>368</v>
      </c>
      <c r="J244" s="47">
        <v>10.5</v>
      </c>
      <c r="L244" s="47" t="s">
        <v>15</v>
      </c>
    </row>
    <row r="245" spans="1:12">
      <c r="A245" s="47">
        <v>244</v>
      </c>
      <c r="B245" s="47">
        <v>0</v>
      </c>
      <c r="C245" s="47">
        <v>3</v>
      </c>
      <c r="D245" s="47" t="s">
        <v>369</v>
      </c>
      <c r="E245" s="47" t="s">
        <v>13</v>
      </c>
      <c r="F245" s="47">
        <v>22</v>
      </c>
      <c r="G245" s="47">
        <v>0</v>
      </c>
      <c r="H245" s="47">
        <v>0</v>
      </c>
      <c r="I245" s="47" t="s">
        <v>370</v>
      </c>
      <c r="J245" s="47">
        <v>7.125</v>
      </c>
      <c r="L245" s="47" t="s">
        <v>15</v>
      </c>
    </row>
    <row r="246" spans="1:12">
      <c r="A246" s="47">
        <v>245</v>
      </c>
      <c r="B246" s="47">
        <v>0</v>
      </c>
      <c r="C246" s="47">
        <v>3</v>
      </c>
      <c r="D246" s="47" t="s">
        <v>371</v>
      </c>
      <c r="E246" s="47" t="s">
        <v>13</v>
      </c>
      <c r="F246" s="47">
        <v>30</v>
      </c>
      <c r="G246" s="47">
        <v>0</v>
      </c>
      <c r="H246" s="47">
        <v>0</v>
      </c>
      <c r="I246" s="47">
        <v>2694</v>
      </c>
      <c r="J246" s="47">
        <v>7.225</v>
      </c>
      <c r="L246" s="47" t="s">
        <v>20</v>
      </c>
    </row>
    <row r="247" spans="1:12">
      <c r="A247" s="47">
        <v>246</v>
      </c>
      <c r="B247" s="47">
        <v>0</v>
      </c>
      <c r="C247" s="47">
        <v>1</v>
      </c>
      <c r="D247" s="47" t="s">
        <v>372</v>
      </c>
      <c r="E247" s="47" t="s">
        <v>13</v>
      </c>
      <c r="F247" s="47">
        <v>44</v>
      </c>
      <c r="G247" s="47">
        <v>2</v>
      </c>
      <c r="H247" s="47">
        <v>0</v>
      </c>
      <c r="I247" s="47">
        <v>19928</v>
      </c>
      <c r="J247" s="47">
        <v>90</v>
      </c>
      <c r="K247" s="47" t="s">
        <v>373</v>
      </c>
      <c r="L247" s="47" t="s">
        <v>27</v>
      </c>
    </row>
    <row r="248" spans="1:12">
      <c r="A248" s="47">
        <v>247</v>
      </c>
      <c r="B248" s="47">
        <v>0</v>
      </c>
      <c r="C248" s="47">
        <v>3</v>
      </c>
      <c r="D248" s="47" t="s">
        <v>374</v>
      </c>
      <c r="E248" s="47" t="s">
        <v>17</v>
      </c>
      <c r="F248" s="47">
        <v>25</v>
      </c>
      <c r="G248" s="47">
        <v>0</v>
      </c>
      <c r="H248" s="47">
        <v>0</v>
      </c>
      <c r="I248" s="47">
        <v>347071</v>
      </c>
      <c r="J248" s="47">
        <v>7.775</v>
      </c>
      <c r="L248" s="47" t="s">
        <v>15</v>
      </c>
    </row>
    <row r="249" spans="1:12">
      <c r="A249" s="47">
        <v>248</v>
      </c>
      <c r="B249" s="47">
        <v>1</v>
      </c>
      <c r="C249" s="47">
        <v>2</v>
      </c>
      <c r="D249" s="47" t="s">
        <v>375</v>
      </c>
      <c r="E249" s="47" t="s">
        <v>17</v>
      </c>
      <c r="F249" s="47">
        <v>24</v>
      </c>
      <c r="G249" s="47">
        <v>0</v>
      </c>
      <c r="H249" s="47">
        <v>2</v>
      </c>
      <c r="I249" s="47">
        <v>250649</v>
      </c>
      <c r="J249" s="47">
        <v>14.5</v>
      </c>
      <c r="L249" s="47" t="s">
        <v>15</v>
      </c>
    </row>
    <row r="250" spans="1:12">
      <c r="A250" s="47">
        <v>249</v>
      </c>
      <c r="B250" s="47">
        <v>1</v>
      </c>
      <c r="C250" s="47">
        <v>1</v>
      </c>
      <c r="D250" s="47" t="s">
        <v>376</v>
      </c>
      <c r="E250" s="47" t="s">
        <v>13</v>
      </c>
      <c r="F250" s="47">
        <v>37</v>
      </c>
      <c r="G250" s="47">
        <v>1</v>
      </c>
      <c r="H250" s="47">
        <v>1</v>
      </c>
      <c r="I250" s="47">
        <v>11751</v>
      </c>
      <c r="J250" s="47">
        <v>52.5542</v>
      </c>
      <c r="K250" s="47" t="s">
        <v>377</v>
      </c>
      <c r="L250" s="47" t="s">
        <v>15</v>
      </c>
    </row>
    <row r="251" spans="1:12">
      <c r="A251" s="47">
        <v>250</v>
      </c>
      <c r="B251" s="47">
        <v>0</v>
      </c>
      <c r="C251" s="47">
        <v>2</v>
      </c>
      <c r="D251" s="47" t="s">
        <v>378</v>
      </c>
      <c r="E251" s="47" t="s">
        <v>13</v>
      </c>
      <c r="F251" s="47">
        <v>54</v>
      </c>
      <c r="G251" s="47">
        <v>1</v>
      </c>
      <c r="H251" s="47">
        <v>0</v>
      </c>
      <c r="I251" s="47">
        <v>244252</v>
      </c>
      <c r="J251" s="47">
        <v>26</v>
      </c>
      <c r="L251" s="47" t="s">
        <v>15</v>
      </c>
    </row>
    <row r="252" spans="1:12">
      <c r="A252" s="47">
        <v>251</v>
      </c>
      <c r="B252" s="47">
        <v>0</v>
      </c>
      <c r="C252" s="47">
        <v>3</v>
      </c>
      <c r="D252" s="47" t="s">
        <v>379</v>
      </c>
      <c r="E252" s="47" t="s">
        <v>13</v>
      </c>
      <c r="G252" s="47">
        <v>0</v>
      </c>
      <c r="H252" s="47">
        <v>0</v>
      </c>
      <c r="I252" s="47">
        <v>362316</v>
      </c>
      <c r="J252" s="47">
        <v>7.25</v>
      </c>
      <c r="L252" s="47" t="s">
        <v>15</v>
      </c>
    </row>
    <row r="253" spans="1:12">
      <c r="A253" s="47">
        <v>252</v>
      </c>
      <c r="B253" s="47">
        <v>0</v>
      </c>
      <c r="C253" s="47">
        <v>3</v>
      </c>
      <c r="D253" s="47" t="s">
        <v>380</v>
      </c>
      <c r="E253" s="47" t="s">
        <v>17</v>
      </c>
      <c r="F253" s="47">
        <v>29</v>
      </c>
      <c r="G253" s="47">
        <v>1</v>
      </c>
      <c r="H253" s="47">
        <v>1</v>
      </c>
      <c r="I253" s="47">
        <v>347054</v>
      </c>
      <c r="J253" s="47">
        <v>10.4625</v>
      </c>
      <c r="K253" s="47" t="s">
        <v>35</v>
      </c>
      <c r="L253" s="47" t="s">
        <v>15</v>
      </c>
    </row>
    <row r="254" spans="1:12">
      <c r="A254" s="47">
        <v>253</v>
      </c>
      <c r="B254" s="47">
        <v>0</v>
      </c>
      <c r="C254" s="47">
        <v>1</v>
      </c>
      <c r="D254" s="47" t="s">
        <v>381</v>
      </c>
      <c r="E254" s="47" t="s">
        <v>13</v>
      </c>
      <c r="F254" s="47">
        <v>62</v>
      </c>
      <c r="G254" s="47">
        <v>0</v>
      </c>
      <c r="H254" s="47">
        <v>0</v>
      </c>
      <c r="I254" s="47">
        <v>113514</v>
      </c>
      <c r="J254" s="47">
        <v>26.55</v>
      </c>
      <c r="K254" s="47" t="s">
        <v>382</v>
      </c>
      <c r="L254" s="47" t="s">
        <v>15</v>
      </c>
    </row>
    <row r="255" spans="1:12">
      <c r="A255" s="47">
        <v>254</v>
      </c>
      <c r="B255" s="47">
        <v>0</v>
      </c>
      <c r="C255" s="47">
        <v>3</v>
      </c>
      <c r="D255" s="47" t="s">
        <v>383</v>
      </c>
      <c r="E255" s="47" t="s">
        <v>13</v>
      </c>
      <c r="F255" s="47">
        <v>30</v>
      </c>
      <c r="G255" s="47">
        <v>1</v>
      </c>
      <c r="H255" s="47">
        <v>0</v>
      </c>
      <c r="I255" s="47" t="s">
        <v>384</v>
      </c>
      <c r="J255" s="47">
        <v>16.1</v>
      </c>
      <c r="L255" s="47" t="s">
        <v>15</v>
      </c>
    </row>
    <row r="256" spans="1:12">
      <c r="A256" s="47">
        <v>255</v>
      </c>
      <c r="B256" s="47">
        <v>0</v>
      </c>
      <c r="C256" s="47">
        <v>3</v>
      </c>
      <c r="D256" s="47" t="s">
        <v>385</v>
      </c>
      <c r="E256" s="47" t="s">
        <v>17</v>
      </c>
      <c r="F256" s="47">
        <v>41</v>
      </c>
      <c r="G256" s="47">
        <v>0</v>
      </c>
      <c r="H256" s="47">
        <v>2</v>
      </c>
      <c r="I256" s="47">
        <v>370129</v>
      </c>
      <c r="J256" s="47">
        <v>20.2125</v>
      </c>
      <c r="L256" s="47" t="s">
        <v>15</v>
      </c>
    </row>
    <row r="257" spans="1:12">
      <c r="A257" s="47">
        <v>256</v>
      </c>
      <c r="B257" s="47">
        <v>1</v>
      </c>
      <c r="C257" s="47">
        <v>3</v>
      </c>
      <c r="D257" s="47" t="s">
        <v>386</v>
      </c>
      <c r="E257" s="47" t="s">
        <v>17</v>
      </c>
      <c r="F257" s="47">
        <v>29</v>
      </c>
      <c r="G257" s="47">
        <v>0</v>
      </c>
      <c r="H257" s="47">
        <v>2</v>
      </c>
      <c r="I257" s="47">
        <v>2650</v>
      </c>
      <c r="J257" s="47">
        <v>15.2458</v>
      </c>
      <c r="L257" s="47" t="s">
        <v>20</v>
      </c>
    </row>
    <row r="258" spans="1:12">
      <c r="A258" s="47">
        <v>257</v>
      </c>
      <c r="B258" s="47">
        <v>1</v>
      </c>
      <c r="C258" s="47">
        <v>1</v>
      </c>
      <c r="D258" s="47" t="s">
        <v>387</v>
      </c>
      <c r="E258" s="47" t="s">
        <v>17</v>
      </c>
      <c r="G258" s="47">
        <v>0</v>
      </c>
      <c r="H258" s="47">
        <v>0</v>
      </c>
      <c r="I258" s="47" t="s">
        <v>388</v>
      </c>
      <c r="J258" s="47">
        <v>79.2</v>
      </c>
      <c r="L258" s="47" t="s">
        <v>20</v>
      </c>
    </row>
    <row r="259" spans="1:12">
      <c r="A259" s="47">
        <v>258</v>
      </c>
      <c r="B259" s="47">
        <v>1</v>
      </c>
      <c r="C259" s="47">
        <v>1</v>
      </c>
      <c r="D259" s="47" t="s">
        <v>389</v>
      </c>
      <c r="E259" s="47" t="s">
        <v>17</v>
      </c>
      <c r="F259" s="47">
        <v>30</v>
      </c>
      <c r="G259" s="47">
        <v>0</v>
      </c>
      <c r="H259" s="47">
        <v>0</v>
      </c>
      <c r="I259" s="47">
        <v>110152</v>
      </c>
      <c r="J259" s="47">
        <v>86.5</v>
      </c>
      <c r="K259" s="47" t="s">
        <v>390</v>
      </c>
      <c r="L259" s="47" t="s">
        <v>15</v>
      </c>
    </row>
    <row r="260" spans="1:12">
      <c r="A260" s="47">
        <v>259</v>
      </c>
      <c r="B260" s="47">
        <v>1</v>
      </c>
      <c r="C260" s="47">
        <v>1</v>
      </c>
      <c r="D260" s="47" t="s">
        <v>391</v>
      </c>
      <c r="E260" s="47" t="s">
        <v>17</v>
      </c>
      <c r="F260" s="47">
        <v>35</v>
      </c>
      <c r="G260" s="47">
        <v>0</v>
      </c>
      <c r="H260" s="47">
        <v>0</v>
      </c>
      <c r="I260" s="47" t="s">
        <v>392</v>
      </c>
      <c r="J260" s="47">
        <v>512.3292</v>
      </c>
      <c r="L260" s="47" t="s">
        <v>20</v>
      </c>
    </row>
    <row r="261" spans="1:12">
      <c r="A261" s="47">
        <v>260</v>
      </c>
      <c r="B261" s="47">
        <v>1</v>
      </c>
      <c r="C261" s="47">
        <v>2</v>
      </c>
      <c r="D261" s="47" t="s">
        <v>393</v>
      </c>
      <c r="E261" s="47" t="s">
        <v>17</v>
      </c>
      <c r="F261" s="47">
        <v>50</v>
      </c>
      <c r="G261" s="47">
        <v>0</v>
      </c>
      <c r="H261" s="47">
        <v>1</v>
      </c>
      <c r="I261" s="47">
        <v>230433</v>
      </c>
      <c r="J261" s="47">
        <v>26</v>
      </c>
      <c r="L261" s="47" t="s">
        <v>15</v>
      </c>
    </row>
    <row r="262" spans="1:12">
      <c r="A262" s="47">
        <v>261</v>
      </c>
      <c r="B262" s="47">
        <v>0</v>
      </c>
      <c r="C262" s="47">
        <v>3</v>
      </c>
      <c r="D262" s="47" t="s">
        <v>394</v>
      </c>
      <c r="E262" s="47" t="s">
        <v>13</v>
      </c>
      <c r="G262" s="47">
        <v>0</v>
      </c>
      <c r="H262" s="47">
        <v>0</v>
      </c>
      <c r="I262" s="47">
        <v>384461</v>
      </c>
      <c r="J262" s="47">
        <v>7.75</v>
      </c>
      <c r="L262" s="47" t="s">
        <v>27</v>
      </c>
    </row>
    <row r="263" spans="1:12">
      <c r="A263" s="47">
        <v>262</v>
      </c>
      <c r="B263" s="47">
        <v>1</v>
      </c>
      <c r="C263" s="47">
        <v>3</v>
      </c>
      <c r="D263" s="47" t="s">
        <v>395</v>
      </c>
      <c r="E263" s="47" t="s">
        <v>13</v>
      </c>
      <c r="F263" s="47">
        <v>3</v>
      </c>
      <c r="G263" s="47">
        <v>4</v>
      </c>
      <c r="H263" s="47">
        <v>2</v>
      </c>
      <c r="I263" s="47">
        <v>347077</v>
      </c>
      <c r="J263" s="47">
        <v>31.3875</v>
      </c>
      <c r="L263" s="47" t="s">
        <v>15</v>
      </c>
    </row>
    <row r="264" spans="1:12">
      <c r="A264" s="47">
        <v>263</v>
      </c>
      <c r="B264" s="47">
        <v>0</v>
      </c>
      <c r="C264" s="47">
        <v>1</v>
      </c>
      <c r="D264" s="47" t="s">
        <v>396</v>
      </c>
      <c r="E264" s="47" t="s">
        <v>13</v>
      </c>
      <c r="F264" s="47">
        <v>52</v>
      </c>
      <c r="G264" s="47">
        <v>1</v>
      </c>
      <c r="H264" s="47">
        <v>1</v>
      </c>
      <c r="I264" s="47">
        <v>110413</v>
      </c>
      <c r="J264" s="47">
        <v>79.65</v>
      </c>
      <c r="K264" s="47" t="s">
        <v>397</v>
      </c>
      <c r="L264" s="47" t="s">
        <v>15</v>
      </c>
    </row>
    <row r="265" spans="1:12">
      <c r="A265" s="47">
        <v>264</v>
      </c>
      <c r="B265" s="47">
        <v>0</v>
      </c>
      <c r="C265" s="47">
        <v>1</v>
      </c>
      <c r="D265" s="47" t="s">
        <v>398</v>
      </c>
      <c r="E265" s="47" t="s">
        <v>13</v>
      </c>
      <c r="F265" s="47">
        <v>40</v>
      </c>
      <c r="G265" s="47">
        <v>0</v>
      </c>
      <c r="H265" s="47">
        <v>0</v>
      </c>
      <c r="I265" s="47">
        <v>112059</v>
      </c>
      <c r="J265" s="47">
        <v>0</v>
      </c>
      <c r="K265" s="47" t="s">
        <v>399</v>
      </c>
      <c r="L265" s="47" t="s">
        <v>15</v>
      </c>
    </row>
    <row r="266" spans="1:12">
      <c r="A266" s="47">
        <v>265</v>
      </c>
      <c r="B266" s="47">
        <v>0</v>
      </c>
      <c r="C266" s="47">
        <v>3</v>
      </c>
      <c r="D266" s="47" t="s">
        <v>400</v>
      </c>
      <c r="E266" s="47" t="s">
        <v>17</v>
      </c>
      <c r="G266" s="47">
        <v>0</v>
      </c>
      <c r="H266" s="47">
        <v>0</v>
      </c>
      <c r="I266" s="47">
        <v>382649</v>
      </c>
      <c r="J266" s="47">
        <v>7.75</v>
      </c>
      <c r="L266" s="47" t="s">
        <v>27</v>
      </c>
    </row>
    <row r="267" spans="1:12">
      <c r="A267" s="47">
        <v>266</v>
      </c>
      <c r="B267" s="47">
        <v>0</v>
      </c>
      <c r="C267" s="47">
        <v>2</v>
      </c>
      <c r="D267" s="47" t="s">
        <v>401</v>
      </c>
      <c r="E267" s="47" t="s">
        <v>13</v>
      </c>
      <c r="F267" s="47">
        <v>36</v>
      </c>
      <c r="G267" s="47">
        <v>0</v>
      </c>
      <c r="H267" s="47">
        <v>0</v>
      </c>
      <c r="I267" s="47" t="s">
        <v>402</v>
      </c>
      <c r="J267" s="47">
        <v>10.5</v>
      </c>
      <c r="L267" s="47" t="s">
        <v>15</v>
      </c>
    </row>
    <row r="268" spans="1:12">
      <c r="A268" s="47">
        <v>267</v>
      </c>
      <c r="B268" s="47">
        <v>0</v>
      </c>
      <c r="C268" s="47">
        <v>3</v>
      </c>
      <c r="D268" s="47" t="s">
        <v>403</v>
      </c>
      <c r="E268" s="47" t="s">
        <v>13</v>
      </c>
      <c r="F268" s="47">
        <v>16</v>
      </c>
      <c r="G268" s="47">
        <v>4</v>
      </c>
      <c r="H268" s="47">
        <v>1</v>
      </c>
      <c r="I268" s="47">
        <v>3101295</v>
      </c>
      <c r="J268" s="47">
        <v>39.6875</v>
      </c>
      <c r="L268" s="47" t="s">
        <v>15</v>
      </c>
    </row>
    <row r="269" spans="1:12">
      <c r="A269" s="47">
        <v>268</v>
      </c>
      <c r="B269" s="47">
        <v>1</v>
      </c>
      <c r="C269" s="47">
        <v>3</v>
      </c>
      <c r="D269" s="47" t="s">
        <v>404</v>
      </c>
      <c r="E269" s="47" t="s">
        <v>13</v>
      </c>
      <c r="F269" s="47">
        <v>25</v>
      </c>
      <c r="G269" s="47">
        <v>1</v>
      </c>
      <c r="H269" s="47">
        <v>0</v>
      </c>
      <c r="I269" s="47">
        <v>347083</v>
      </c>
      <c r="J269" s="47">
        <v>7.775</v>
      </c>
      <c r="L269" s="47" t="s">
        <v>15</v>
      </c>
    </row>
    <row r="270" spans="1:12">
      <c r="A270" s="47">
        <v>269</v>
      </c>
      <c r="B270" s="47">
        <v>1</v>
      </c>
      <c r="C270" s="47">
        <v>1</v>
      </c>
      <c r="D270" s="47" t="s">
        <v>405</v>
      </c>
      <c r="E270" s="47" t="s">
        <v>17</v>
      </c>
      <c r="F270" s="47">
        <v>58</v>
      </c>
      <c r="G270" s="47">
        <v>0</v>
      </c>
      <c r="H270" s="47">
        <v>1</v>
      </c>
      <c r="I270" s="47" t="s">
        <v>406</v>
      </c>
      <c r="J270" s="47">
        <v>153.4625</v>
      </c>
      <c r="K270" s="47" t="s">
        <v>407</v>
      </c>
      <c r="L270" s="47" t="s">
        <v>15</v>
      </c>
    </row>
    <row r="271" spans="1:12">
      <c r="A271" s="47">
        <v>270</v>
      </c>
      <c r="B271" s="47">
        <v>1</v>
      </c>
      <c r="C271" s="47">
        <v>1</v>
      </c>
      <c r="D271" s="47" t="s">
        <v>408</v>
      </c>
      <c r="E271" s="47" t="s">
        <v>17</v>
      </c>
      <c r="F271" s="47">
        <v>35</v>
      </c>
      <c r="G271" s="47">
        <v>0</v>
      </c>
      <c r="H271" s="47">
        <v>0</v>
      </c>
      <c r="I271" s="47" t="s">
        <v>409</v>
      </c>
      <c r="J271" s="47">
        <v>135.6333</v>
      </c>
      <c r="K271" s="47" t="s">
        <v>410</v>
      </c>
      <c r="L271" s="47" t="s">
        <v>15</v>
      </c>
    </row>
    <row r="272" spans="1:12">
      <c r="A272" s="47">
        <v>271</v>
      </c>
      <c r="B272" s="47">
        <v>0</v>
      </c>
      <c r="C272" s="47">
        <v>1</v>
      </c>
      <c r="D272" s="47" t="s">
        <v>411</v>
      </c>
      <c r="E272" s="47" t="s">
        <v>13</v>
      </c>
      <c r="G272" s="47">
        <v>0</v>
      </c>
      <c r="H272" s="47">
        <v>0</v>
      </c>
      <c r="I272" s="47">
        <v>113798</v>
      </c>
      <c r="J272" s="47">
        <v>31</v>
      </c>
      <c r="L272" s="47" t="s">
        <v>15</v>
      </c>
    </row>
    <row r="273" spans="1:12">
      <c r="A273" s="47">
        <v>272</v>
      </c>
      <c r="B273" s="47">
        <v>1</v>
      </c>
      <c r="C273" s="47">
        <v>3</v>
      </c>
      <c r="D273" s="47" t="s">
        <v>412</v>
      </c>
      <c r="E273" s="47" t="s">
        <v>13</v>
      </c>
      <c r="F273" s="47">
        <v>25</v>
      </c>
      <c r="G273" s="47">
        <v>0</v>
      </c>
      <c r="H273" s="47">
        <v>0</v>
      </c>
      <c r="I273" s="47" t="s">
        <v>280</v>
      </c>
      <c r="J273" s="47">
        <v>0</v>
      </c>
      <c r="L273" s="47" t="s">
        <v>15</v>
      </c>
    </row>
    <row r="274" spans="1:12">
      <c r="A274" s="47">
        <v>273</v>
      </c>
      <c r="B274" s="47">
        <v>1</v>
      </c>
      <c r="C274" s="47">
        <v>2</v>
      </c>
      <c r="D274" s="47" t="s">
        <v>413</v>
      </c>
      <c r="E274" s="47" t="s">
        <v>17</v>
      </c>
      <c r="F274" s="47">
        <v>41</v>
      </c>
      <c r="G274" s="47">
        <v>0</v>
      </c>
      <c r="H274" s="47">
        <v>1</v>
      </c>
      <c r="I274" s="47">
        <v>250644</v>
      </c>
      <c r="J274" s="47">
        <v>19.5</v>
      </c>
      <c r="L274" s="47" t="s">
        <v>15</v>
      </c>
    </row>
    <row r="275" spans="1:12">
      <c r="A275" s="47">
        <v>274</v>
      </c>
      <c r="B275" s="47">
        <v>0</v>
      </c>
      <c r="C275" s="47">
        <v>1</v>
      </c>
      <c r="D275" s="47" t="s">
        <v>414</v>
      </c>
      <c r="E275" s="47" t="s">
        <v>13</v>
      </c>
      <c r="F275" s="47">
        <v>37</v>
      </c>
      <c r="G275" s="47">
        <v>0</v>
      </c>
      <c r="H275" s="47">
        <v>1</v>
      </c>
      <c r="I275" s="47" t="s">
        <v>415</v>
      </c>
      <c r="J275" s="47">
        <v>29.7</v>
      </c>
      <c r="K275" s="47" t="s">
        <v>416</v>
      </c>
      <c r="L275" s="47" t="s">
        <v>20</v>
      </c>
    </row>
    <row r="276" spans="1:12">
      <c r="A276" s="47">
        <v>275</v>
      </c>
      <c r="B276" s="47">
        <v>1</v>
      </c>
      <c r="C276" s="47">
        <v>3</v>
      </c>
      <c r="D276" s="47" t="s">
        <v>417</v>
      </c>
      <c r="E276" s="47" t="s">
        <v>17</v>
      </c>
      <c r="G276" s="47">
        <v>0</v>
      </c>
      <c r="H276" s="47">
        <v>0</v>
      </c>
      <c r="I276" s="47">
        <v>370375</v>
      </c>
      <c r="J276" s="47">
        <v>7.75</v>
      </c>
      <c r="L276" s="47" t="s">
        <v>27</v>
      </c>
    </row>
    <row r="277" spans="1:12">
      <c r="A277" s="47">
        <v>276</v>
      </c>
      <c r="B277" s="47">
        <v>1</v>
      </c>
      <c r="C277" s="47">
        <v>1</v>
      </c>
      <c r="D277" s="47" t="s">
        <v>418</v>
      </c>
      <c r="E277" s="47" t="s">
        <v>17</v>
      </c>
      <c r="F277" s="47">
        <v>63</v>
      </c>
      <c r="G277" s="47">
        <v>1</v>
      </c>
      <c r="H277" s="47">
        <v>0</v>
      </c>
      <c r="I277" s="47">
        <v>13502</v>
      </c>
      <c r="J277" s="47">
        <v>77.9583</v>
      </c>
      <c r="K277" s="47" t="s">
        <v>419</v>
      </c>
      <c r="L277" s="47" t="s">
        <v>15</v>
      </c>
    </row>
    <row r="278" spans="1:12">
      <c r="A278" s="47">
        <v>277</v>
      </c>
      <c r="B278" s="47">
        <v>0</v>
      </c>
      <c r="C278" s="47">
        <v>3</v>
      </c>
      <c r="D278" s="47" t="s">
        <v>420</v>
      </c>
      <c r="E278" s="47" t="s">
        <v>17</v>
      </c>
      <c r="F278" s="47">
        <v>45</v>
      </c>
      <c r="G278" s="47">
        <v>0</v>
      </c>
      <c r="H278" s="47">
        <v>0</v>
      </c>
      <c r="I278" s="47">
        <v>347073</v>
      </c>
      <c r="J278" s="47">
        <v>7.75</v>
      </c>
      <c r="L278" s="47" t="s">
        <v>15</v>
      </c>
    </row>
    <row r="279" spans="1:12">
      <c r="A279" s="47">
        <v>278</v>
      </c>
      <c r="B279" s="47">
        <v>0</v>
      </c>
      <c r="C279" s="47">
        <v>2</v>
      </c>
      <c r="D279" s="47" t="s">
        <v>421</v>
      </c>
      <c r="E279" s="47" t="s">
        <v>13</v>
      </c>
      <c r="G279" s="47">
        <v>0</v>
      </c>
      <c r="H279" s="47">
        <v>0</v>
      </c>
      <c r="I279" s="47">
        <v>239853</v>
      </c>
      <c r="J279" s="47">
        <v>0</v>
      </c>
      <c r="L279" s="47" t="s">
        <v>15</v>
      </c>
    </row>
    <row r="280" spans="1:12">
      <c r="A280" s="47">
        <v>279</v>
      </c>
      <c r="B280" s="47">
        <v>0</v>
      </c>
      <c r="C280" s="47">
        <v>3</v>
      </c>
      <c r="D280" s="47" t="s">
        <v>422</v>
      </c>
      <c r="E280" s="47" t="s">
        <v>13</v>
      </c>
      <c r="F280" s="47">
        <v>7</v>
      </c>
      <c r="G280" s="47">
        <v>4</v>
      </c>
      <c r="H280" s="47">
        <v>1</v>
      </c>
      <c r="I280" s="47">
        <v>382652</v>
      </c>
      <c r="J280" s="47">
        <v>29.125</v>
      </c>
      <c r="L280" s="47" t="s">
        <v>27</v>
      </c>
    </row>
    <row r="281" spans="1:12">
      <c r="A281" s="47">
        <v>280</v>
      </c>
      <c r="B281" s="47">
        <v>1</v>
      </c>
      <c r="C281" s="47">
        <v>3</v>
      </c>
      <c r="D281" s="47" t="s">
        <v>423</v>
      </c>
      <c r="E281" s="47" t="s">
        <v>17</v>
      </c>
      <c r="F281" s="47">
        <v>35</v>
      </c>
      <c r="G281" s="47">
        <v>1</v>
      </c>
      <c r="H281" s="47">
        <v>1</v>
      </c>
      <c r="I281" s="47" t="s">
        <v>424</v>
      </c>
      <c r="J281" s="47">
        <v>20.25</v>
      </c>
      <c r="L281" s="47" t="s">
        <v>15</v>
      </c>
    </row>
    <row r="282" spans="1:12">
      <c r="A282" s="47">
        <v>281</v>
      </c>
      <c r="B282" s="47">
        <v>0</v>
      </c>
      <c r="C282" s="47">
        <v>3</v>
      </c>
      <c r="D282" s="47" t="s">
        <v>425</v>
      </c>
      <c r="E282" s="47" t="s">
        <v>13</v>
      </c>
      <c r="F282" s="47">
        <v>65</v>
      </c>
      <c r="G282" s="47">
        <v>0</v>
      </c>
      <c r="H282" s="47">
        <v>0</v>
      </c>
      <c r="I282" s="47">
        <v>336439</v>
      </c>
      <c r="J282" s="47">
        <v>7.75</v>
      </c>
      <c r="L282" s="47" t="s">
        <v>27</v>
      </c>
    </row>
    <row r="283" spans="1:12">
      <c r="A283" s="47">
        <v>282</v>
      </c>
      <c r="B283" s="47">
        <v>0</v>
      </c>
      <c r="C283" s="47">
        <v>3</v>
      </c>
      <c r="D283" s="47" t="s">
        <v>426</v>
      </c>
      <c r="E283" s="47" t="s">
        <v>13</v>
      </c>
      <c r="F283" s="47">
        <v>28</v>
      </c>
      <c r="G283" s="47">
        <v>0</v>
      </c>
      <c r="H283" s="47">
        <v>0</v>
      </c>
      <c r="I283" s="47">
        <v>347464</v>
      </c>
      <c r="J283" s="47">
        <v>7.8542</v>
      </c>
      <c r="L283" s="47" t="s">
        <v>15</v>
      </c>
    </row>
    <row r="284" spans="1:12">
      <c r="A284" s="47">
        <v>283</v>
      </c>
      <c r="B284" s="47">
        <v>0</v>
      </c>
      <c r="C284" s="47">
        <v>3</v>
      </c>
      <c r="D284" s="47" t="s">
        <v>427</v>
      </c>
      <c r="E284" s="47" t="s">
        <v>13</v>
      </c>
      <c r="F284" s="47">
        <v>16</v>
      </c>
      <c r="G284" s="47">
        <v>0</v>
      </c>
      <c r="H284" s="47">
        <v>0</v>
      </c>
      <c r="I284" s="47">
        <v>345778</v>
      </c>
      <c r="J284" s="47">
        <v>9.5</v>
      </c>
      <c r="L284" s="47" t="s">
        <v>15</v>
      </c>
    </row>
    <row r="285" spans="1:12">
      <c r="A285" s="47">
        <v>284</v>
      </c>
      <c r="B285" s="47">
        <v>1</v>
      </c>
      <c r="C285" s="47">
        <v>3</v>
      </c>
      <c r="D285" s="47" t="s">
        <v>428</v>
      </c>
      <c r="E285" s="47" t="s">
        <v>13</v>
      </c>
      <c r="F285" s="47">
        <v>19</v>
      </c>
      <c r="G285" s="47">
        <v>0</v>
      </c>
      <c r="H285" s="47">
        <v>0</v>
      </c>
      <c r="I285" s="47" t="s">
        <v>429</v>
      </c>
      <c r="J285" s="47">
        <v>8.05</v>
      </c>
      <c r="L285" s="47" t="s">
        <v>15</v>
      </c>
    </row>
    <row r="286" spans="1:12">
      <c r="A286" s="47">
        <v>285</v>
      </c>
      <c r="B286" s="47">
        <v>0</v>
      </c>
      <c r="C286" s="47">
        <v>1</v>
      </c>
      <c r="D286" s="47" t="s">
        <v>430</v>
      </c>
      <c r="E286" s="47" t="s">
        <v>13</v>
      </c>
      <c r="G286" s="47">
        <v>0</v>
      </c>
      <c r="H286" s="47">
        <v>0</v>
      </c>
      <c r="I286" s="47">
        <v>113056</v>
      </c>
      <c r="J286" s="47">
        <v>26</v>
      </c>
      <c r="K286" s="47" t="s">
        <v>431</v>
      </c>
      <c r="L286" s="47" t="s">
        <v>15</v>
      </c>
    </row>
    <row r="287" spans="1:12">
      <c r="A287" s="47">
        <v>286</v>
      </c>
      <c r="B287" s="47">
        <v>0</v>
      </c>
      <c r="C287" s="47">
        <v>3</v>
      </c>
      <c r="D287" s="47" t="s">
        <v>432</v>
      </c>
      <c r="E287" s="47" t="s">
        <v>13</v>
      </c>
      <c r="F287" s="47">
        <v>33</v>
      </c>
      <c r="G287" s="47">
        <v>0</v>
      </c>
      <c r="H287" s="47">
        <v>0</v>
      </c>
      <c r="I287" s="47">
        <v>349239</v>
      </c>
      <c r="J287" s="47">
        <v>8.6625</v>
      </c>
      <c r="L287" s="47" t="s">
        <v>20</v>
      </c>
    </row>
    <row r="288" spans="1:12">
      <c r="A288" s="47">
        <v>287</v>
      </c>
      <c r="B288" s="47">
        <v>1</v>
      </c>
      <c r="C288" s="47">
        <v>3</v>
      </c>
      <c r="D288" s="47" t="s">
        <v>433</v>
      </c>
      <c r="E288" s="47" t="s">
        <v>13</v>
      </c>
      <c r="F288" s="47">
        <v>30</v>
      </c>
      <c r="G288" s="47">
        <v>0</v>
      </c>
      <c r="H288" s="47">
        <v>0</v>
      </c>
      <c r="I288" s="47">
        <v>345774</v>
      </c>
      <c r="J288" s="47">
        <v>9.5</v>
      </c>
      <c r="L288" s="47" t="s">
        <v>15</v>
      </c>
    </row>
    <row r="289" spans="1:12">
      <c r="A289" s="47">
        <v>288</v>
      </c>
      <c r="B289" s="47">
        <v>0</v>
      </c>
      <c r="C289" s="47">
        <v>3</v>
      </c>
      <c r="D289" s="47" t="s">
        <v>434</v>
      </c>
      <c r="E289" s="47" t="s">
        <v>13</v>
      </c>
      <c r="F289" s="47">
        <v>22</v>
      </c>
      <c r="G289" s="47">
        <v>0</v>
      </c>
      <c r="H289" s="47">
        <v>0</v>
      </c>
      <c r="I289" s="47">
        <v>349206</v>
      </c>
      <c r="J289" s="47">
        <v>7.8958</v>
      </c>
      <c r="L289" s="47" t="s">
        <v>15</v>
      </c>
    </row>
    <row r="290" spans="1:12">
      <c r="A290" s="47">
        <v>289</v>
      </c>
      <c r="B290" s="47">
        <v>1</v>
      </c>
      <c r="C290" s="47">
        <v>2</v>
      </c>
      <c r="D290" s="47" t="s">
        <v>435</v>
      </c>
      <c r="E290" s="47" t="s">
        <v>13</v>
      </c>
      <c r="F290" s="47">
        <v>42</v>
      </c>
      <c r="G290" s="47">
        <v>0</v>
      </c>
      <c r="H290" s="47">
        <v>0</v>
      </c>
      <c r="I290" s="47">
        <v>237798</v>
      </c>
      <c r="J290" s="47">
        <v>13</v>
      </c>
      <c r="L290" s="47" t="s">
        <v>15</v>
      </c>
    </row>
    <row r="291" spans="1:12">
      <c r="A291" s="47">
        <v>290</v>
      </c>
      <c r="B291" s="47">
        <v>1</v>
      </c>
      <c r="C291" s="47">
        <v>3</v>
      </c>
      <c r="D291" s="47" t="s">
        <v>436</v>
      </c>
      <c r="E291" s="47" t="s">
        <v>17</v>
      </c>
      <c r="F291" s="47">
        <v>22</v>
      </c>
      <c r="G291" s="47">
        <v>0</v>
      </c>
      <c r="H291" s="47">
        <v>0</v>
      </c>
      <c r="I291" s="47">
        <v>370373</v>
      </c>
      <c r="J291" s="47">
        <v>7.75</v>
      </c>
      <c r="L291" s="47" t="s">
        <v>27</v>
      </c>
    </row>
    <row r="292" spans="1:12">
      <c r="A292" s="47">
        <v>291</v>
      </c>
      <c r="B292" s="47">
        <v>1</v>
      </c>
      <c r="C292" s="47">
        <v>1</v>
      </c>
      <c r="D292" s="47" t="s">
        <v>437</v>
      </c>
      <c r="E292" s="47" t="s">
        <v>17</v>
      </c>
      <c r="F292" s="47">
        <v>26</v>
      </c>
      <c r="G292" s="47">
        <v>0</v>
      </c>
      <c r="H292" s="47">
        <v>0</v>
      </c>
      <c r="I292" s="47">
        <v>19877</v>
      </c>
      <c r="J292" s="47">
        <v>78.85</v>
      </c>
      <c r="L292" s="47" t="s">
        <v>15</v>
      </c>
    </row>
    <row r="293" spans="1:12">
      <c r="A293" s="47">
        <v>292</v>
      </c>
      <c r="B293" s="47">
        <v>1</v>
      </c>
      <c r="C293" s="47">
        <v>1</v>
      </c>
      <c r="D293" s="47" t="s">
        <v>438</v>
      </c>
      <c r="E293" s="47" t="s">
        <v>17</v>
      </c>
      <c r="F293" s="47">
        <v>19</v>
      </c>
      <c r="G293" s="47">
        <v>1</v>
      </c>
      <c r="H293" s="47">
        <v>0</v>
      </c>
      <c r="I293" s="47">
        <v>11967</v>
      </c>
      <c r="J293" s="47">
        <v>91.0792</v>
      </c>
      <c r="K293" s="47" t="s">
        <v>439</v>
      </c>
      <c r="L293" s="47" t="s">
        <v>20</v>
      </c>
    </row>
    <row r="294" spans="1:12">
      <c r="A294" s="47">
        <v>293</v>
      </c>
      <c r="B294" s="47">
        <v>0</v>
      </c>
      <c r="C294" s="47">
        <v>2</v>
      </c>
      <c r="D294" s="47" t="s">
        <v>440</v>
      </c>
      <c r="E294" s="47" t="s">
        <v>13</v>
      </c>
      <c r="F294" s="47">
        <v>36</v>
      </c>
      <c r="G294" s="47">
        <v>0</v>
      </c>
      <c r="H294" s="47">
        <v>0</v>
      </c>
      <c r="I294" s="47" t="s">
        <v>441</v>
      </c>
      <c r="J294" s="47">
        <v>12.875</v>
      </c>
      <c r="K294" s="47" t="s">
        <v>442</v>
      </c>
      <c r="L294" s="47" t="s">
        <v>20</v>
      </c>
    </row>
    <row r="295" spans="1:12">
      <c r="A295" s="47">
        <v>294</v>
      </c>
      <c r="B295" s="47">
        <v>0</v>
      </c>
      <c r="C295" s="47">
        <v>3</v>
      </c>
      <c r="D295" s="47" t="s">
        <v>443</v>
      </c>
      <c r="E295" s="47" t="s">
        <v>17</v>
      </c>
      <c r="F295" s="47">
        <v>24</v>
      </c>
      <c r="G295" s="47">
        <v>0</v>
      </c>
      <c r="H295" s="47">
        <v>0</v>
      </c>
      <c r="I295" s="47">
        <v>349236</v>
      </c>
      <c r="J295" s="47">
        <v>8.85</v>
      </c>
      <c r="L295" s="47" t="s">
        <v>15</v>
      </c>
    </row>
    <row r="296" spans="1:12">
      <c r="A296" s="47">
        <v>295</v>
      </c>
      <c r="B296" s="47">
        <v>0</v>
      </c>
      <c r="C296" s="47">
        <v>3</v>
      </c>
      <c r="D296" s="47" t="s">
        <v>444</v>
      </c>
      <c r="E296" s="47" t="s">
        <v>13</v>
      </c>
      <c r="F296" s="47">
        <v>24</v>
      </c>
      <c r="G296" s="47">
        <v>0</v>
      </c>
      <c r="H296" s="47">
        <v>0</v>
      </c>
      <c r="I296" s="47">
        <v>349233</v>
      </c>
      <c r="J296" s="47">
        <v>7.8958</v>
      </c>
      <c r="L296" s="47" t="s">
        <v>15</v>
      </c>
    </row>
    <row r="297" spans="1:12">
      <c r="A297" s="47">
        <v>296</v>
      </c>
      <c r="B297" s="47">
        <v>0</v>
      </c>
      <c r="C297" s="47">
        <v>1</v>
      </c>
      <c r="D297" s="47" t="s">
        <v>445</v>
      </c>
      <c r="E297" s="47" t="s">
        <v>13</v>
      </c>
      <c r="G297" s="47">
        <v>0</v>
      </c>
      <c r="H297" s="47">
        <v>0</v>
      </c>
      <c r="I297" s="47" t="s">
        <v>446</v>
      </c>
      <c r="J297" s="47">
        <v>27.7208</v>
      </c>
      <c r="L297" s="47" t="s">
        <v>20</v>
      </c>
    </row>
    <row r="298" spans="1:12">
      <c r="A298" s="47">
        <v>297</v>
      </c>
      <c r="B298" s="47">
        <v>0</v>
      </c>
      <c r="C298" s="47">
        <v>3</v>
      </c>
      <c r="D298" s="47" t="s">
        <v>447</v>
      </c>
      <c r="E298" s="47" t="s">
        <v>13</v>
      </c>
      <c r="F298" s="47">
        <v>23.5</v>
      </c>
      <c r="G298" s="47">
        <v>0</v>
      </c>
      <c r="H298" s="47">
        <v>0</v>
      </c>
      <c r="I298" s="47">
        <v>2693</v>
      </c>
      <c r="J298" s="47">
        <v>7.2292</v>
      </c>
      <c r="L298" s="47" t="s">
        <v>20</v>
      </c>
    </row>
    <row r="299" spans="1:12">
      <c r="A299" s="47">
        <v>298</v>
      </c>
      <c r="B299" s="47">
        <v>0</v>
      </c>
      <c r="C299" s="47">
        <v>1</v>
      </c>
      <c r="D299" s="47" t="s">
        <v>448</v>
      </c>
      <c r="E299" s="47" t="s">
        <v>17</v>
      </c>
      <c r="F299" s="47">
        <v>2</v>
      </c>
      <c r="G299" s="47">
        <v>1</v>
      </c>
      <c r="H299" s="47">
        <v>2</v>
      </c>
      <c r="I299" s="47">
        <v>113781</v>
      </c>
      <c r="J299" s="47">
        <v>151.55</v>
      </c>
      <c r="K299" s="47" t="s">
        <v>449</v>
      </c>
      <c r="L299" s="47" t="s">
        <v>15</v>
      </c>
    </row>
    <row r="300" spans="1:12">
      <c r="A300" s="47">
        <v>299</v>
      </c>
      <c r="B300" s="47">
        <v>1</v>
      </c>
      <c r="C300" s="47">
        <v>1</v>
      </c>
      <c r="D300" s="47" t="s">
        <v>450</v>
      </c>
      <c r="E300" s="47" t="s">
        <v>13</v>
      </c>
      <c r="G300" s="47">
        <v>0</v>
      </c>
      <c r="H300" s="47">
        <v>0</v>
      </c>
      <c r="I300" s="47">
        <v>19988</v>
      </c>
      <c r="J300" s="47">
        <v>30.5</v>
      </c>
      <c r="K300" s="47" t="s">
        <v>451</v>
      </c>
      <c r="L300" s="47" t="s">
        <v>15</v>
      </c>
    </row>
    <row r="301" spans="1:12">
      <c r="A301" s="47">
        <v>300</v>
      </c>
      <c r="B301" s="47">
        <v>1</v>
      </c>
      <c r="C301" s="47">
        <v>1</v>
      </c>
      <c r="D301" s="47" t="s">
        <v>452</v>
      </c>
      <c r="E301" s="47" t="s">
        <v>17</v>
      </c>
      <c r="F301" s="47">
        <v>50</v>
      </c>
      <c r="G301" s="47">
        <v>0</v>
      </c>
      <c r="H301" s="47">
        <v>1</v>
      </c>
      <c r="I301" s="47" t="s">
        <v>187</v>
      </c>
      <c r="J301" s="47">
        <v>247.5208</v>
      </c>
      <c r="K301" s="47" t="s">
        <v>188</v>
      </c>
      <c r="L301" s="47" t="s">
        <v>20</v>
      </c>
    </row>
    <row r="302" spans="1:12">
      <c r="A302" s="47">
        <v>301</v>
      </c>
      <c r="B302" s="47">
        <v>1</v>
      </c>
      <c r="C302" s="47">
        <v>3</v>
      </c>
      <c r="D302" s="47" t="s">
        <v>453</v>
      </c>
      <c r="E302" s="47" t="s">
        <v>17</v>
      </c>
      <c r="G302" s="47">
        <v>0</v>
      </c>
      <c r="H302" s="47">
        <v>0</v>
      </c>
      <c r="I302" s="47">
        <v>9234</v>
      </c>
      <c r="J302" s="47">
        <v>7.75</v>
      </c>
      <c r="L302" s="47" t="s">
        <v>27</v>
      </c>
    </row>
    <row r="303" spans="1:12">
      <c r="A303" s="47">
        <v>302</v>
      </c>
      <c r="B303" s="47">
        <v>1</v>
      </c>
      <c r="C303" s="47">
        <v>3</v>
      </c>
      <c r="D303" s="47" t="s">
        <v>454</v>
      </c>
      <c r="E303" s="47" t="s">
        <v>13</v>
      </c>
      <c r="G303" s="47">
        <v>2</v>
      </c>
      <c r="H303" s="47">
        <v>0</v>
      </c>
      <c r="I303" s="47">
        <v>367226</v>
      </c>
      <c r="J303" s="47">
        <v>23.25</v>
      </c>
      <c r="L303" s="47" t="s">
        <v>27</v>
      </c>
    </row>
    <row r="304" spans="1:12">
      <c r="A304" s="47">
        <v>303</v>
      </c>
      <c r="B304" s="47">
        <v>0</v>
      </c>
      <c r="C304" s="47">
        <v>3</v>
      </c>
      <c r="D304" s="47" t="s">
        <v>455</v>
      </c>
      <c r="E304" s="47" t="s">
        <v>13</v>
      </c>
      <c r="F304" s="47">
        <v>19</v>
      </c>
      <c r="G304" s="47">
        <v>0</v>
      </c>
      <c r="H304" s="47">
        <v>0</v>
      </c>
      <c r="I304" s="47" t="s">
        <v>280</v>
      </c>
      <c r="J304" s="47">
        <v>0</v>
      </c>
      <c r="L304" s="47" t="s">
        <v>15</v>
      </c>
    </row>
    <row r="305" spans="1:12">
      <c r="A305" s="47">
        <v>304</v>
      </c>
      <c r="B305" s="47">
        <v>1</v>
      </c>
      <c r="C305" s="47">
        <v>2</v>
      </c>
      <c r="D305" s="47" t="s">
        <v>456</v>
      </c>
      <c r="E305" s="47" t="s">
        <v>17</v>
      </c>
      <c r="G305" s="47">
        <v>0</v>
      </c>
      <c r="H305" s="47">
        <v>0</v>
      </c>
      <c r="I305" s="47">
        <v>226593</v>
      </c>
      <c r="J305" s="47">
        <v>12.35</v>
      </c>
      <c r="K305" s="47" t="s">
        <v>195</v>
      </c>
      <c r="L305" s="47" t="s">
        <v>27</v>
      </c>
    </row>
    <row r="306" spans="1:12">
      <c r="A306" s="47">
        <v>305</v>
      </c>
      <c r="B306" s="47">
        <v>0</v>
      </c>
      <c r="C306" s="47">
        <v>3</v>
      </c>
      <c r="D306" s="47" t="s">
        <v>457</v>
      </c>
      <c r="E306" s="47" t="s">
        <v>13</v>
      </c>
      <c r="G306" s="47">
        <v>0</v>
      </c>
      <c r="H306" s="47">
        <v>0</v>
      </c>
      <c r="I306" s="47" t="s">
        <v>458</v>
      </c>
      <c r="J306" s="47">
        <v>8.05</v>
      </c>
      <c r="L306" s="47" t="s">
        <v>15</v>
      </c>
    </row>
    <row r="307" spans="1:12">
      <c r="A307" s="47">
        <v>306</v>
      </c>
      <c r="B307" s="47">
        <v>1</v>
      </c>
      <c r="C307" s="47">
        <v>1</v>
      </c>
      <c r="D307" s="47" t="s">
        <v>459</v>
      </c>
      <c r="E307" s="47" t="s">
        <v>13</v>
      </c>
      <c r="F307" s="47">
        <v>0.92</v>
      </c>
      <c r="G307" s="47">
        <v>1</v>
      </c>
      <c r="H307" s="47">
        <v>2</v>
      </c>
      <c r="I307" s="47">
        <v>113781</v>
      </c>
      <c r="J307" s="47">
        <v>151.55</v>
      </c>
      <c r="K307" s="47" t="s">
        <v>449</v>
      </c>
      <c r="L307" s="47" t="s">
        <v>15</v>
      </c>
    </row>
    <row r="308" spans="1:12">
      <c r="A308" s="47">
        <v>307</v>
      </c>
      <c r="B308" s="47">
        <v>1</v>
      </c>
      <c r="C308" s="47">
        <v>1</v>
      </c>
      <c r="D308" s="47" t="s">
        <v>460</v>
      </c>
      <c r="E308" s="47" t="s">
        <v>17</v>
      </c>
      <c r="G308" s="47">
        <v>0</v>
      </c>
      <c r="H308" s="47">
        <v>0</v>
      </c>
      <c r="I308" s="47">
        <v>17421</v>
      </c>
      <c r="J308" s="47">
        <v>110.8833</v>
      </c>
      <c r="L308" s="47" t="s">
        <v>20</v>
      </c>
    </row>
    <row r="309" spans="1:12">
      <c r="A309" s="47">
        <v>308</v>
      </c>
      <c r="B309" s="47">
        <v>1</v>
      </c>
      <c r="C309" s="47">
        <v>1</v>
      </c>
      <c r="D309" s="47" t="s">
        <v>461</v>
      </c>
      <c r="E309" s="47" t="s">
        <v>17</v>
      </c>
      <c r="F309" s="47">
        <v>17</v>
      </c>
      <c r="G309" s="47">
        <v>1</v>
      </c>
      <c r="H309" s="47">
        <v>0</v>
      </c>
      <c r="I309" s="47" t="s">
        <v>462</v>
      </c>
      <c r="J309" s="47">
        <v>108.9</v>
      </c>
      <c r="K309" s="47" t="s">
        <v>463</v>
      </c>
      <c r="L309" s="47" t="s">
        <v>20</v>
      </c>
    </row>
    <row r="310" spans="1:12">
      <c r="A310" s="47">
        <v>309</v>
      </c>
      <c r="B310" s="47">
        <v>0</v>
      </c>
      <c r="C310" s="47">
        <v>2</v>
      </c>
      <c r="D310" s="47" t="s">
        <v>464</v>
      </c>
      <c r="E310" s="47" t="s">
        <v>13</v>
      </c>
      <c r="F310" s="47">
        <v>30</v>
      </c>
      <c r="G310" s="47">
        <v>1</v>
      </c>
      <c r="H310" s="47">
        <v>0</v>
      </c>
      <c r="I310" s="47" t="s">
        <v>465</v>
      </c>
      <c r="J310" s="47">
        <v>24</v>
      </c>
      <c r="L310" s="47" t="s">
        <v>20</v>
      </c>
    </row>
    <row r="311" spans="1:12">
      <c r="A311" s="47">
        <v>310</v>
      </c>
      <c r="B311" s="47">
        <v>1</v>
      </c>
      <c r="C311" s="47">
        <v>1</v>
      </c>
      <c r="D311" s="47" t="s">
        <v>466</v>
      </c>
      <c r="E311" s="47" t="s">
        <v>17</v>
      </c>
      <c r="F311" s="47">
        <v>30</v>
      </c>
      <c r="G311" s="47">
        <v>0</v>
      </c>
      <c r="H311" s="47">
        <v>0</v>
      </c>
      <c r="I311" s="47" t="s">
        <v>467</v>
      </c>
      <c r="J311" s="47">
        <v>56.9292</v>
      </c>
      <c r="K311" s="47" t="s">
        <v>468</v>
      </c>
      <c r="L311" s="47" t="s">
        <v>20</v>
      </c>
    </row>
    <row r="312" spans="1:12">
      <c r="A312" s="47">
        <v>311</v>
      </c>
      <c r="B312" s="47">
        <v>1</v>
      </c>
      <c r="C312" s="47">
        <v>1</v>
      </c>
      <c r="D312" s="47" t="s">
        <v>469</v>
      </c>
      <c r="E312" s="47" t="s">
        <v>17</v>
      </c>
      <c r="F312" s="47">
        <v>24</v>
      </c>
      <c r="G312" s="47">
        <v>0</v>
      </c>
      <c r="H312" s="47">
        <v>0</v>
      </c>
      <c r="I312" s="47">
        <v>11767</v>
      </c>
      <c r="J312" s="47">
        <v>83.1583</v>
      </c>
      <c r="K312" s="47" t="s">
        <v>470</v>
      </c>
      <c r="L312" s="47" t="s">
        <v>20</v>
      </c>
    </row>
    <row r="313" spans="1:12">
      <c r="A313" s="47">
        <v>312</v>
      </c>
      <c r="B313" s="47">
        <v>1</v>
      </c>
      <c r="C313" s="47">
        <v>1</v>
      </c>
      <c r="D313" s="47" t="s">
        <v>471</v>
      </c>
      <c r="E313" s="47" t="s">
        <v>17</v>
      </c>
      <c r="F313" s="47">
        <v>18</v>
      </c>
      <c r="G313" s="47">
        <v>2</v>
      </c>
      <c r="H313" s="47">
        <v>2</v>
      </c>
      <c r="I313" s="47" t="s">
        <v>472</v>
      </c>
      <c r="J313" s="47">
        <v>262.375</v>
      </c>
      <c r="K313" s="47" t="s">
        <v>473</v>
      </c>
      <c r="L313" s="47" t="s">
        <v>20</v>
      </c>
    </row>
    <row r="314" spans="1:12">
      <c r="A314" s="47">
        <v>313</v>
      </c>
      <c r="B314" s="47">
        <v>0</v>
      </c>
      <c r="C314" s="47">
        <v>2</v>
      </c>
      <c r="D314" s="47" t="s">
        <v>474</v>
      </c>
      <c r="E314" s="47" t="s">
        <v>17</v>
      </c>
      <c r="F314" s="47">
        <v>26</v>
      </c>
      <c r="G314" s="47">
        <v>1</v>
      </c>
      <c r="H314" s="47">
        <v>1</v>
      </c>
      <c r="I314" s="47">
        <v>250651</v>
      </c>
      <c r="J314" s="47">
        <v>26</v>
      </c>
      <c r="L314" s="47" t="s">
        <v>15</v>
      </c>
    </row>
    <row r="315" spans="1:12">
      <c r="A315" s="47">
        <v>314</v>
      </c>
      <c r="B315" s="47">
        <v>0</v>
      </c>
      <c r="C315" s="47">
        <v>3</v>
      </c>
      <c r="D315" s="47" t="s">
        <v>475</v>
      </c>
      <c r="E315" s="47" t="s">
        <v>13</v>
      </c>
      <c r="F315" s="47">
        <v>28</v>
      </c>
      <c r="G315" s="47">
        <v>0</v>
      </c>
      <c r="H315" s="47">
        <v>0</v>
      </c>
      <c r="I315" s="47">
        <v>349243</v>
      </c>
      <c r="J315" s="47">
        <v>7.8958</v>
      </c>
      <c r="L315" s="47" t="s">
        <v>15</v>
      </c>
    </row>
    <row r="316" spans="1:12">
      <c r="A316" s="47">
        <v>315</v>
      </c>
      <c r="B316" s="47">
        <v>0</v>
      </c>
      <c r="C316" s="47">
        <v>2</v>
      </c>
      <c r="D316" s="47" t="s">
        <v>476</v>
      </c>
      <c r="E316" s="47" t="s">
        <v>13</v>
      </c>
      <c r="F316" s="47">
        <v>43</v>
      </c>
      <c r="G316" s="47">
        <v>1</v>
      </c>
      <c r="H316" s="47">
        <v>1</v>
      </c>
      <c r="I316" s="47" t="s">
        <v>477</v>
      </c>
      <c r="J316" s="47">
        <v>26.25</v>
      </c>
      <c r="L316" s="47" t="s">
        <v>15</v>
      </c>
    </row>
    <row r="317" spans="1:12">
      <c r="A317" s="47">
        <v>316</v>
      </c>
      <c r="B317" s="47">
        <v>1</v>
      </c>
      <c r="C317" s="47">
        <v>3</v>
      </c>
      <c r="D317" s="47" t="s">
        <v>478</v>
      </c>
      <c r="E317" s="47" t="s">
        <v>17</v>
      </c>
      <c r="F317" s="47">
        <v>26</v>
      </c>
      <c r="G317" s="47">
        <v>0</v>
      </c>
      <c r="H317" s="47">
        <v>0</v>
      </c>
      <c r="I317" s="47">
        <v>347470</v>
      </c>
      <c r="J317" s="47">
        <v>7.8542</v>
      </c>
      <c r="L317" s="47" t="s">
        <v>15</v>
      </c>
    </row>
    <row r="318" spans="1:12">
      <c r="A318" s="47">
        <v>317</v>
      </c>
      <c r="B318" s="47">
        <v>1</v>
      </c>
      <c r="C318" s="47">
        <v>2</v>
      </c>
      <c r="D318" s="47" t="s">
        <v>479</v>
      </c>
      <c r="E318" s="47" t="s">
        <v>17</v>
      </c>
      <c r="F318" s="47">
        <v>24</v>
      </c>
      <c r="G318" s="47">
        <v>1</v>
      </c>
      <c r="H318" s="47">
        <v>0</v>
      </c>
      <c r="I318" s="47">
        <v>244367</v>
      </c>
      <c r="J318" s="47">
        <v>26</v>
      </c>
      <c r="L318" s="47" t="s">
        <v>15</v>
      </c>
    </row>
    <row r="319" spans="1:12">
      <c r="A319" s="47">
        <v>318</v>
      </c>
      <c r="B319" s="47">
        <v>0</v>
      </c>
      <c r="C319" s="47">
        <v>2</v>
      </c>
      <c r="D319" s="47" t="s">
        <v>480</v>
      </c>
      <c r="E319" s="47" t="s">
        <v>13</v>
      </c>
      <c r="F319" s="47">
        <v>54</v>
      </c>
      <c r="G319" s="47">
        <v>0</v>
      </c>
      <c r="H319" s="47">
        <v>0</v>
      </c>
      <c r="I319" s="47">
        <v>29011</v>
      </c>
      <c r="J319" s="47">
        <v>14</v>
      </c>
      <c r="L319" s="47" t="s">
        <v>15</v>
      </c>
    </row>
    <row r="320" spans="1:12">
      <c r="A320" s="47">
        <v>319</v>
      </c>
      <c r="B320" s="47">
        <v>1</v>
      </c>
      <c r="C320" s="47">
        <v>1</v>
      </c>
      <c r="D320" s="47" t="s">
        <v>481</v>
      </c>
      <c r="E320" s="47" t="s">
        <v>17</v>
      </c>
      <c r="F320" s="47">
        <v>31</v>
      </c>
      <c r="G320" s="47">
        <v>0</v>
      </c>
      <c r="H320" s="47">
        <v>2</v>
      </c>
      <c r="I320" s="47">
        <v>36928</v>
      </c>
      <c r="J320" s="47">
        <v>164.8667</v>
      </c>
      <c r="K320" s="47" t="s">
        <v>482</v>
      </c>
      <c r="L320" s="47" t="s">
        <v>15</v>
      </c>
    </row>
    <row r="321" spans="1:12">
      <c r="A321" s="47">
        <v>320</v>
      </c>
      <c r="B321" s="47">
        <v>1</v>
      </c>
      <c r="C321" s="47">
        <v>1</v>
      </c>
      <c r="D321" s="47" t="s">
        <v>483</v>
      </c>
      <c r="E321" s="47" t="s">
        <v>17</v>
      </c>
      <c r="F321" s="47">
        <v>40</v>
      </c>
      <c r="G321" s="47">
        <v>1</v>
      </c>
      <c r="H321" s="47">
        <v>1</v>
      </c>
      <c r="I321" s="47">
        <v>16966</v>
      </c>
      <c r="J321" s="47">
        <v>134.5</v>
      </c>
      <c r="K321" s="47" t="s">
        <v>484</v>
      </c>
      <c r="L321" s="47" t="s">
        <v>20</v>
      </c>
    </row>
    <row r="322" spans="1:12">
      <c r="A322" s="47">
        <v>321</v>
      </c>
      <c r="B322" s="47">
        <v>0</v>
      </c>
      <c r="C322" s="47">
        <v>3</v>
      </c>
      <c r="D322" s="47" t="s">
        <v>485</v>
      </c>
      <c r="E322" s="47" t="s">
        <v>13</v>
      </c>
      <c r="F322" s="47">
        <v>22</v>
      </c>
      <c r="G322" s="47">
        <v>0</v>
      </c>
      <c r="H322" s="47">
        <v>0</v>
      </c>
      <c r="I322" s="47" t="s">
        <v>486</v>
      </c>
      <c r="J322" s="47">
        <v>7.25</v>
      </c>
      <c r="L322" s="47" t="s">
        <v>15</v>
      </c>
    </row>
    <row r="323" spans="1:12">
      <c r="A323" s="47">
        <v>322</v>
      </c>
      <c r="B323" s="47">
        <v>0</v>
      </c>
      <c r="C323" s="47">
        <v>3</v>
      </c>
      <c r="D323" s="47" t="s">
        <v>487</v>
      </c>
      <c r="E323" s="47" t="s">
        <v>13</v>
      </c>
      <c r="F323" s="47">
        <v>27</v>
      </c>
      <c r="G323" s="47">
        <v>0</v>
      </c>
      <c r="H323" s="47">
        <v>0</v>
      </c>
      <c r="I323" s="47">
        <v>349219</v>
      </c>
      <c r="J323" s="47">
        <v>7.8958</v>
      </c>
      <c r="L323" s="47" t="s">
        <v>15</v>
      </c>
    </row>
    <row r="324" spans="1:12">
      <c r="A324" s="47">
        <v>323</v>
      </c>
      <c r="B324" s="47">
        <v>1</v>
      </c>
      <c r="C324" s="47">
        <v>2</v>
      </c>
      <c r="D324" s="47" t="s">
        <v>488</v>
      </c>
      <c r="E324" s="47" t="s">
        <v>17</v>
      </c>
      <c r="F324" s="47">
        <v>30</v>
      </c>
      <c r="G324" s="47">
        <v>0</v>
      </c>
      <c r="H324" s="47">
        <v>0</v>
      </c>
      <c r="I324" s="47">
        <v>234818</v>
      </c>
      <c r="J324" s="47">
        <v>12.35</v>
      </c>
      <c r="L324" s="47" t="s">
        <v>27</v>
      </c>
    </row>
    <row r="325" spans="1:12">
      <c r="A325" s="47">
        <v>324</v>
      </c>
      <c r="B325" s="47">
        <v>1</v>
      </c>
      <c r="C325" s="47">
        <v>2</v>
      </c>
      <c r="D325" s="47" t="s">
        <v>489</v>
      </c>
      <c r="E325" s="47" t="s">
        <v>17</v>
      </c>
      <c r="F325" s="47">
        <v>22</v>
      </c>
      <c r="G325" s="47">
        <v>1</v>
      </c>
      <c r="H325" s="47">
        <v>1</v>
      </c>
      <c r="I325" s="47">
        <v>248738</v>
      </c>
      <c r="J325" s="47">
        <v>29</v>
      </c>
      <c r="L325" s="47" t="s">
        <v>15</v>
      </c>
    </row>
    <row r="326" spans="1:12">
      <c r="A326" s="47">
        <v>325</v>
      </c>
      <c r="B326" s="47">
        <v>0</v>
      </c>
      <c r="C326" s="47">
        <v>3</v>
      </c>
      <c r="D326" s="47" t="s">
        <v>490</v>
      </c>
      <c r="E326" s="47" t="s">
        <v>13</v>
      </c>
      <c r="G326" s="47">
        <v>8</v>
      </c>
      <c r="H326" s="47">
        <v>2</v>
      </c>
      <c r="I326" s="47" t="s">
        <v>251</v>
      </c>
      <c r="J326" s="47">
        <v>69.55</v>
      </c>
      <c r="L326" s="47" t="s">
        <v>15</v>
      </c>
    </row>
    <row r="327" spans="1:12">
      <c r="A327" s="47">
        <v>326</v>
      </c>
      <c r="B327" s="47">
        <v>1</v>
      </c>
      <c r="C327" s="47">
        <v>1</v>
      </c>
      <c r="D327" s="47" t="s">
        <v>491</v>
      </c>
      <c r="E327" s="47" t="s">
        <v>17</v>
      </c>
      <c r="F327" s="47">
        <v>36</v>
      </c>
      <c r="G327" s="47">
        <v>0</v>
      </c>
      <c r="H327" s="47">
        <v>0</v>
      </c>
      <c r="I327" s="47" t="s">
        <v>409</v>
      </c>
      <c r="J327" s="47">
        <v>135.6333</v>
      </c>
      <c r="K327" s="47" t="s">
        <v>492</v>
      </c>
      <c r="L327" s="47" t="s">
        <v>20</v>
      </c>
    </row>
    <row r="328" spans="1:12">
      <c r="A328" s="47">
        <v>327</v>
      </c>
      <c r="B328" s="47">
        <v>0</v>
      </c>
      <c r="C328" s="47">
        <v>3</v>
      </c>
      <c r="D328" s="47" t="s">
        <v>493</v>
      </c>
      <c r="E328" s="47" t="s">
        <v>13</v>
      </c>
      <c r="F328" s="47">
        <v>61</v>
      </c>
      <c r="G328" s="47">
        <v>0</v>
      </c>
      <c r="H328" s="47">
        <v>0</v>
      </c>
      <c r="I328" s="47">
        <v>345364</v>
      </c>
      <c r="J328" s="47">
        <v>6.2375</v>
      </c>
      <c r="L328" s="47" t="s">
        <v>15</v>
      </c>
    </row>
    <row r="329" spans="1:12">
      <c r="A329" s="47">
        <v>328</v>
      </c>
      <c r="B329" s="47">
        <v>1</v>
      </c>
      <c r="C329" s="47">
        <v>2</v>
      </c>
      <c r="D329" s="47" t="s">
        <v>494</v>
      </c>
      <c r="E329" s="47" t="s">
        <v>17</v>
      </c>
      <c r="F329" s="47">
        <v>36</v>
      </c>
      <c r="G329" s="47">
        <v>0</v>
      </c>
      <c r="H329" s="47">
        <v>0</v>
      </c>
      <c r="I329" s="47">
        <v>28551</v>
      </c>
      <c r="J329" s="47">
        <v>13</v>
      </c>
      <c r="K329" s="47" t="s">
        <v>442</v>
      </c>
      <c r="L329" s="47" t="s">
        <v>15</v>
      </c>
    </row>
    <row r="330" spans="1:12">
      <c r="A330" s="47">
        <v>329</v>
      </c>
      <c r="B330" s="47">
        <v>1</v>
      </c>
      <c r="C330" s="47">
        <v>3</v>
      </c>
      <c r="D330" s="47" t="s">
        <v>495</v>
      </c>
      <c r="E330" s="47" t="s">
        <v>17</v>
      </c>
      <c r="F330" s="47">
        <v>31</v>
      </c>
      <c r="G330" s="47">
        <v>1</v>
      </c>
      <c r="H330" s="47">
        <v>1</v>
      </c>
      <c r="I330" s="47">
        <v>363291</v>
      </c>
      <c r="J330" s="47">
        <v>20.525</v>
      </c>
      <c r="L330" s="47" t="s">
        <v>15</v>
      </c>
    </row>
    <row r="331" spans="1:12">
      <c r="A331" s="47">
        <v>330</v>
      </c>
      <c r="B331" s="47">
        <v>1</v>
      </c>
      <c r="C331" s="47">
        <v>1</v>
      </c>
      <c r="D331" s="47" t="s">
        <v>496</v>
      </c>
      <c r="E331" s="47" t="s">
        <v>17</v>
      </c>
      <c r="F331" s="47">
        <v>16</v>
      </c>
      <c r="G331" s="47">
        <v>0</v>
      </c>
      <c r="H331" s="47">
        <v>1</v>
      </c>
      <c r="I331" s="47">
        <v>111361</v>
      </c>
      <c r="J331" s="47">
        <v>57.9792</v>
      </c>
      <c r="K331" s="47" t="s">
        <v>497</v>
      </c>
      <c r="L331" s="47" t="s">
        <v>20</v>
      </c>
    </row>
    <row r="332" spans="1:12">
      <c r="A332" s="47">
        <v>331</v>
      </c>
      <c r="B332" s="47">
        <v>1</v>
      </c>
      <c r="C332" s="47">
        <v>3</v>
      </c>
      <c r="D332" s="47" t="s">
        <v>498</v>
      </c>
      <c r="E332" s="47" t="s">
        <v>17</v>
      </c>
      <c r="G332" s="47">
        <v>2</v>
      </c>
      <c r="H332" s="47">
        <v>0</v>
      </c>
      <c r="I332" s="47">
        <v>367226</v>
      </c>
      <c r="J332" s="47">
        <v>23.25</v>
      </c>
      <c r="L332" s="47" t="s">
        <v>27</v>
      </c>
    </row>
    <row r="333" spans="1:12">
      <c r="A333" s="47">
        <v>332</v>
      </c>
      <c r="B333" s="47">
        <v>0</v>
      </c>
      <c r="C333" s="47">
        <v>1</v>
      </c>
      <c r="D333" s="47" t="s">
        <v>499</v>
      </c>
      <c r="E333" s="47" t="s">
        <v>13</v>
      </c>
      <c r="F333" s="47">
        <v>45.5</v>
      </c>
      <c r="G333" s="47">
        <v>0</v>
      </c>
      <c r="H333" s="47">
        <v>0</v>
      </c>
      <c r="I333" s="47">
        <v>113043</v>
      </c>
      <c r="J333" s="47">
        <v>28.5</v>
      </c>
      <c r="K333" s="47" t="s">
        <v>500</v>
      </c>
      <c r="L333" s="47" t="s">
        <v>15</v>
      </c>
    </row>
    <row r="334" spans="1:12">
      <c r="A334" s="47">
        <v>333</v>
      </c>
      <c r="B334" s="47">
        <v>0</v>
      </c>
      <c r="C334" s="47">
        <v>1</v>
      </c>
      <c r="D334" s="47" t="s">
        <v>501</v>
      </c>
      <c r="E334" s="47" t="s">
        <v>13</v>
      </c>
      <c r="F334" s="47">
        <v>38</v>
      </c>
      <c r="G334" s="47">
        <v>0</v>
      </c>
      <c r="H334" s="47">
        <v>1</v>
      </c>
      <c r="I334" s="47" t="s">
        <v>406</v>
      </c>
      <c r="J334" s="47">
        <v>153.4625</v>
      </c>
      <c r="K334" s="47" t="s">
        <v>502</v>
      </c>
      <c r="L334" s="47" t="s">
        <v>15</v>
      </c>
    </row>
    <row r="335" spans="1:12">
      <c r="A335" s="47">
        <v>334</v>
      </c>
      <c r="B335" s="47">
        <v>0</v>
      </c>
      <c r="C335" s="47">
        <v>3</v>
      </c>
      <c r="D335" s="47" t="s">
        <v>503</v>
      </c>
      <c r="E335" s="47" t="s">
        <v>13</v>
      </c>
      <c r="F335" s="47">
        <v>16</v>
      </c>
      <c r="G335" s="47">
        <v>2</v>
      </c>
      <c r="H335" s="47">
        <v>0</v>
      </c>
      <c r="I335" s="47">
        <v>345764</v>
      </c>
      <c r="J335" s="47">
        <v>18</v>
      </c>
      <c r="L335" s="47" t="s">
        <v>15</v>
      </c>
    </row>
    <row r="336" spans="1:12">
      <c r="A336" s="47">
        <v>335</v>
      </c>
      <c r="B336" s="47">
        <v>1</v>
      </c>
      <c r="C336" s="47">
        <v>1</v>
      </c>
      <c r="D336" s="47" t="s">
        <v>504</v>
      </c>
      <c r="E336" s="47" t="s">
        <v>17</v>
      </c>
      <c r="G336" s="47">
        <v>1</v>
      </c>
      <c r="H336" s="47">
        <v>0</v>
      </c>
      <c r="I336" s="47" t="s">
        <v>505</v>
      </c>
      <c r="J336" s="47">
        <v>133.65</v>
      </c>
      <c r="L336" s="47" t="s">
        <v>15</v>
      </c>
    </row>
    <row r="337" spans="1:12">
      <c r="A337" s="47">
        <v>336</v>
      </c>
      <c r="B337" s="47">
        <v>0</v>
      </c>
      <c r="C337" s="47">
        <v>3</v>
      </c>
      <c r="D337" s="47" t="s">
        <v>506</v>
      </c>
      <c r="E337" s="47" t="s">
        <v>13</v>
      </c>
      <c r="G337" s="47">
        <v>0</v>
      </c>
      <c r="H337" s="47">
        <v>0</v>
      </c>
      <c r="I337" s="47">
        <v>349225</v>
      </c>
      <c r="J337" s="47">
        <v>7.8958</v>
      </c>
      <c r="L337" s="47" t="s">
        <v>15</v>
      </c>
    </row>
    <row r="338" spans="1:12">
      <c r="A338" s="47">
        <v>337</v>
      </c>
      <c r="B338" s="47">
        <v>0</v>
      </c>
      <c r="C338" s="47">
        <v>1</v>
      </c>
      <c r="D338" s="47" t="s">
        <v>507</v>
      </c>
      <c r="E338" s="47" t="s">
        <v>13</v>
      </c>
      <c r="F338" s="47">
        <v>29</v>
      </c>
      <c r="G338" s="47">
        <v>1</v>
      </c>
      <c r="H338" s="47">
        <v>0</v>
      </c>
      <c r="I338" s="47">
        <v>113776</v>
      </c>
      <c r="J338" s="47">
        <v>66.6</v>
      </c>
      <c r="K338" s="47" t="s">
        <v>237</v>
      </c>
      <c r="L338" s="47" t="s">
        <v>15</v>
      </c>
    </row>
    <row r="339" spans="1:12">
      <c r="A339" s="47">
        <v>338</v>
      </c>
      <c r="B339" s="47">
        <v>1</v>
      </c>
      <c r="C339" s="47">
        <v>1</v>
      </c>
      <c r="D339" s="47" t="s">
        <v>508</v>
      </c>
      <c r="E339" s="47" t="s">
        <v>17</v>
      </c>
      <c r="F339" s="47">
        <v>41</v>
      </c>
      <c r="G339" s="47">
        <v>0</v>
      </c>
      <c r="H339" s="47">
        <v>0</v>
      </c>
      <c r="I339" s="47">
        <v>16966</v>
      </c>
      <c r="J339" s="47">
        <v>134.5</v>
      </c>
      <c r="K339" s="47" t="s">
        <v>509</v>
      </c>
      <c r="L339" s="47" t="s">
        <v>20</v>
      </c>
    </row>
    <row r="340" spans="1:12">
      <c r="A340" s="47">
        <v>339</v>
      </c>
      <c r="B340" s="47">
        <v>1</v>
      </c>
      <c r="C340" s="47">
        <v>3</v>
      </c>
      <c r="D340" s="47" t="s">
        <v>510</v>
      </c>
      <c r="E340" s="47" t="s">
        <v>13</v>
      </c>
      <c r="F340" s="47">
        <v>45</v>
      </c>
      <c r="G340" s="47">
        <v>0</v>
      </c>
      <c r="H340" s="47">
        <v>0</v>
      </c>
      <c r="I340" s="47">
        <v>7598</v>
      </c>
      <c r="J340" s="47">
        <v>8.05</v>
      </c>
      <c r="L340" s="47" t="s">
        <v>15</v>
      </c>
    </row>
    <row r="341" spans="1:12">
      <c r="A341" s="47">
        <v>340</v>
      </c>
      <c r="B341" s="47">
        <v>0</v>
      </c>
      <c r="C341" s="47">
        <v>1</v>
      </c>
      <c r="D341" s="47" t="s">
        <v>511</v>
      </c>
      <c r="E341" s="47" t="s">
        <v>13</v>
      </c>
      <c r="F341" s="47">
        <v>45</v>
      </c>
      <c r="G341" s="47">
        <v>0</v>
      </c>
      <c r="H341" s="47">
        <v>0</v>
      </c>
      <c r="I341" s="47">
        <v>113784</v>
      </c>
      <c r="J341" s="47">
        <v>35.5</v>
      </c>
      <c r="K341" s="47" t="s">
        <v>512</v>
      </c>
      <c r="L341" s="47" t="s">
        <v>15</v>
      </c>
    </row>
    <row r="342" spans="1:12">
      <c r="A342" s="47">
        <v>341</v>
      </c>
      <c r="B342" s="47">
        <v>1</v>
      </c>
      <c r="C342" s="47">
        <v>2</v>
      </c>
      <c r="D342" s="47" t="s">
        <v>513</v>
      </c>
      <c r="E342" s="47" t="s">
        <v>13</v>
      </c>
      <c r="F342" s="47">
        <v>2</v>
      </c>
      <c r="G342" s="47">
        <v>1</v>
      </c>
      <c r="H342" s="47">
        <v>1</v>
      </c>
      <c r="I342" s="47">
        <v>230080</v>
      </c>
      <c r="J342" s="47">
        <v>26</v>
      </c>
      <c r="K342" s="47" t="s">
        <v>232</v>
      </c>
      <c r="L342" s="47" t="s">
        <v>15</v>
      </c>
    </row>
    <row r="343" spans="1:12">
      <c r="A343" s="47">
        <v>342</v>
      </c>
      <c r="B343" s="47">
        <v>1</v>
      </c>
      <c r="C343" s="47">
        <v>1</v>
      </c>
      <c r="D343" s="47" t="s">
        <v>514</v>
      </c>
      <c r="E343" s="47" t="s">
        <v>17</v>
      </c>
      <c r="F343" s="47">
        <v>24</v>
      </c>
      <c r="G343" s="47">
        <v>3</v>
      </c>
      <c r="H343" s="47">
        <v>2</v>
      </c>
      <c r="I343" s="47">
        <v>19950</v>
      </c>
      <c r="J343" s="47">
        <v>263</v>
      </c>
      <c r="K343" s="47" t="s">
        <v>57</v>
      </c>
      <c r="L343" s="47" t="s">
        <v>15</v>
      </c>
    </row>
    <row r="344" spans="1:12">
      <c r="A344" s="47">
        <v>343</v>
      </c>
      <c r="B344" s="47">
        <v>0</v>
      </c>
      <c r="C344" s="47">
        <v>2</v>
      </c>
      <c r="D344" s="47" t="s">
        <v>515</v>
      </c>
      <c r="E344" s="47" t="s">
        <v>13</v>
      </c>
      <c r="F344" s="47">
        <v>28</v>
      </c>
      <c r="G344" s="47">
        <v>0</v>
      </c>
      <c r="H344" s="47">
        <v>0</v>
      </c>
      <c r="I344" s="47">
        <v>248740</v>
      </c>
      <c r="J344" s="47">
        <v>13</v>
      </c>
      <c r="L344" s="47" t="s">
        <v>15</v>
      </c>
    </row>
    <row r="345" spans="1:12">
      <c r="A345" s="47">
        <v>344</v>
      </c>
      <c r="B345" s="47">
        <v>0</v>
      </c>
      <c r="C345" s="47">
        <v>2</v>
      </c>
      <c r="D345" s="47" t="s">
        <v>516</v>
      </c>
      <c r="E345" s="47" t="s">
        <v>13</v>
      </c>
      <c r="F345" s="47">
        <v>25</v>
      </c>
      <c r="G345" s="47">
        <v>0</v>
      </c>
      <c r="H345" s="47">
        <v>0</v>
      </c>
      <c r="I345" s="47">
        <v>244361</v>
      </c>
      <c r="J345" s="47">
        <v>13</v>
      </c>
      <c r="L345" s="47" t="s">
        <v>15</v>
      </c>
    </row>
    <row r="346" spans="1:12">
      <c r="A346" s="47">
        <v>345</v>
      </c>
      <c r="B346" s="47">
        <v>0</v>
      </c>
      <c r="C346" s="47">
        <v>2</v>
      </c>
      <c r="D346" s="47" t="s">
        <v>517</v>
      </c>
      <c r="E346" s="47" t="s">
        <v>13</v>
      </c>
      <c r="F346" s="47">
        <v>36</v>
      </c>
      <c r="G346" s="47">
        <v>0</v>
      </c>
      <c r="H346" s="47">
        <v>0</v>
      </c>
      <c r="I346" s="47">
        <v>229236</v>
      </c>
      <c r="J346" s="47">
        <v>13</v>
      </c>
      <c r="L346" s="47" t="s">
        <v>15</v>
      </c>
    </row>
    <row r="347" spans="1:12">
      <c r="A347" s="47">
        <v>346</v>
      </c>
      <c r="B347" s="47">
        <v>1</v>
      </c>
      <c r="C347" s="47">
        <v>2</v>
      </c>
      <c r="D347" s="47" t="s">
        <v>518</v>
      </c>
      <c r="E347" s="47" t="s">
        <v>17</v>
      </c>
      <c r="F347" s="47">
        <v>24</v>
      </c>
      <c r="G347" s="47">
        <v>0</v>
      </c>
      <c r="H347" s="47">
        <v>0</v>
      </c>
      <c r="I347" s="47">
        <v>248733</v>
      </c>
      <c r="J347" s="47">
        <v>13</v>
      </c>
      <c r="K347" s="47" t="s">
        <v>117</v>
      </c>
      <c r="L347" s="47" t="s">
        <v>15</v>
      </c>
    </row>
    <row r="348" spans="1:12">
      <c r="A348" s="47">
        <v>347</v>
      </c>
      <c r="B348" s="47">
        <v>1</v>
      </c>
      <c r="C348" s="47">
        <v>2</v>
      </c>
      <c r="D348" s="47" t="s">
        <v>519</v>
      </c>
      <c r="E348" s="47" t="s">
        <v>17</v>
      </c>
      <c r="F348" s="47">
        <v>40</v>
      </c>
      <c r="G348" s="47">
        <v>0</v>
      </c>
      <c r="H348" s="47">
        <v>0</v>
      </c>
      <c r="I348" s="47">
        <v>31418</v>
      </c>
      <c r="J348" s="47">
        <v>13</v>
      </c>
      <c r="L348" s="47" t="s">
        <v>15</v>
      </c>
    </row>
    <row r="349" spans="1:12">
      <c r="A349" s="47">
        <v>348</v>
      </c>
      <c r="B349" s="47">
        <v>1</v>
      </c>
      <c r="C349" s="47">
        <v>3</v>
      </c>
      <c r="D349" s="47" t="s">
        <v>520</v>
      </c>
      <c r="E349" s="47" t="s">
        <v>17</v>
      </c>
      <c r="G349" s="47">
        <v>1</v>
      </c>
      <c r="H349" s="47">
        <v>0</v>
      </c>
      <c r="I349" s="47">
        <v>386525</v>
      </c>
      <c r="J349" s="47">
        <v>16.1</v>
      </c>
      <c r="L349" s="47" t="s">
        <v>15</v>
      </c>
    </row>
    <row r="350" spans="1:12">
      <c r="A350" s="47">
        <v>349</v>
      </c>
      <c r="B350" s="47">
        <v>1</v>
      </c>
      <c r="C350" s="47">
        <v>3</v>
      </c>
      <c r="D350" s="47" t="s">
        <v>521</v>
      </c>
      <c r="E350" s="47" t="s">
        <v>13</v>
      </c>
      <c r="F350" s="47">
        <v>3</v>
      </c>
      <c r="G350" s="47">
        <v>1</v>
      </c>
      <c r="H350" s="47">
        <v>1</v>
      </c>
      <c r="I350" s="47" t="s">
        <v>522</v>
      </c>
      <c r="J350" s="47">
        <v>15.9</v>
      </c>
      <c r="L350" s="47" t="s">
        <v>15</v>
      </c>
    </row>
    <row r="351" spans="1:12">
      <c r="A351" s="47">
        <v>350</v>
      </c>
      <c r="B351" s="47">
        <v>0</v>
      </c>
      <c r="C351" s="47">
        <v>3</v>
      </c>
      <c r="D351" s="47" t="s">
        <v>523</v>
      </c>
      <c r="E351" s="47" t="s">
        <v>13</v>
      </c>
      <c r="F351" s="47">
        <v>42</v>
      </c>
      <c r="G351" s="47">
        <v>0</v>
      </c>
      <c r="H351" s="47">
        <v>0</v>
      </c>
      <c r="I351" s="47">
        <v>315088</v>
      </c>
      <c r="J351" s="47">
        <v>8.6625</v>
      </c>
      <c r="L351" s="47" t="s">
        <v>15</v>
      </c>
    </row>
    <row r="352" spans="1:12">
      <c r="A352" s="47">
        <v>351</v>
      </c>
      <c r="B352" s="47">
        <v>0</v>
      </c>
      <c r="C352" s="47">
        <v>3</v>
      </c>
      <c r="D352" s="47" t="s">
        <v>524</v>
      </c>
      <c r="E352" s="47" t="s">
        <v>13</v>
      </c>
      <c r="F352" s="47">
        <v>23</v>
      </c>
      <c r="G352" s="47">
        <v>0</v>
      </c>
      <c r="H352" s="47">
        <v>0</v>
      </c>
      <c r="I352" s="47">
        <v>7267</v>
      </c>
      <c r="J352" s="47">
        <v>9.225</v>
      </c>
      <c r="L352" s="47" t="s">
        <v>15</v>
      </c>
    </row>
    <row r="353" spans="1:12">
      <c r="A353" s="47">
        <v>352</v>
      </c>
      <c r="B353" s="47">
        <v>0</v>
      </c>
      <c r="C353" s="47">
        <v>1</v>
      </c>
      <c r="D353" s="47" t="s">
        <v>525</v>
      </c>
      <c r="E353" s="47" t="s">
        <v>13</v>
      </c>
      <c r="G353" s="47">
        <v>0</v>
      </c>
      <c r="H353" s="47">
        <v>0</v>
      </c>
      <c r="I353" s="47">
        <v>113510</v>
      </c>
      <c r="J353" s="47">
        <v>35</v>
      </c>
      <c r="K353" s="47" t="s">
        <v>526</v>
      </c>
      <c r="L353" s="47" t="s">
        <v>15</v>
      </c>
    </row>
    <row r="354" spans="1:12">
      <c r="A354" s="47">
        <v>353</v>
      </c>
      <c r="B354" s="47">
        <v>0</v>
      </c>
      <c r="C354" s="47">
        <v>3</v>
      </c>
      <c r="D354" s="47" t="s">
        <v>527</v>
      </c>
      <c r="E354" s="47" t="s">
        <v>13</v>
      </c>
      <c r="F354" s="47">
        <v>15</v>
      </c>
      <c r="G354" s="47">
        <v>1</v>
      </c>
      <c r="H354" s="47">
        <v>1</v>
      </c>
      <c r="I354" s="47">
        <v>2695</v>
      </c>
      <c r="J354" s="47">
        <v>7.2292</v>
      </c>
      <c r="L354" s="47" t="s">
        <v>20</v>
      </c>
    </row>
    <row r="355" spans="1:12">
      <c r="A355" s="47">
        <v>354</v>
      </c>
      <c r="B355" s="47">
        <v>0</v>
      </c>
      <c r="C355" s="47">
        <v>3</v>
      </c>
      <c r="D355" s="47" t="s">
        <v>528</v>
      </c>
      <c r="E355" s="47" t="s">
        <v>13</v>
      </c>
      <c r="F355" s="47">
        <v>25</v>
      </c>
      <c r="G355" s="47">
        <v>1</v>
      </c>
      <c r="H355" s="47">
        <v>0</v>
      </c>
      <c r="I355" s="47">
        <v>349237</v>
      </c>
      <c r="J355" s="47">
        <v>17.8</v>
      </c>
      <c r="L355" s="47" t="s">
        <v>15</v>
      </c>
    </row>
    <row r="356" spans="1:12">
      <c r="A356" s="47">
        <v>355</v>
      </c>
      <c r="B356" s="47">
        <v>0</v>
      </c>
      <c r="C356" s="47">
        <v>3</v>
      </c>
      <c r="D356" s="47" t="s">
        <v>529</v>
      </c>
      <c r="E356" s="47" t="s">
        <v>13</v>
      </c>
      <c r="G356" s="47">
        <v>0</v>
      </c>
      <c r="H356" s="47">
        <v>0</v>
      </c>
      <c r="I356" s="47">
        <v>2647</v>
      </c>
      <c r="J356" s="47">
        <v>7.225</v>
      </c>
      <c r="L356" s="47" t="s">
        <v>20</v>
      </c>
    </row>
    <row r="357" spans="1:12">
      <c r="A357" s="47">
        <v>356</v>
      </c>
      <c r="B357" s="47">
        <v>0</v>
      </c>
      <c r="C357" s="47">
        <v>3</v>
      </c>
      <c r="D357" s="47" t="s">
        <v>530</v>
      </c>
      <c r="E357" s="47" t="s">
        <v>13</v>
      </c>
      <c r="F357" s="47">
        <v>28</v>
      </c>
      <c r="G357" s="47">
        <v>0</v>
      </c>
      <c r="H357" s="47">
        <v>0</v>
      </c>
      <c r="I357" s="47">
        <v>345783</v>
      </c>
      <c r="J357" s="47">
        <v>9.5</v>
      </c>
      <c r="L357" s="47" t="s">
        <v>15</v>
      </c>
    </row>
    <row r="358" spans="1:12">
      <c r="A358" s="47">
        <v>357</v>
      </c>
      <c r="B358" s="47">
        <v>1</v>
      </c>
      <c r="C358" s="47">
        <v>1</v>
      </c>
      <c r="D358" s="47" t="s">
        <v>531</v>
      </c>
      <c r="E358" s="47" t="s">
        <v>17</v>
      </c>
      <c r="F358" s="47">
        <v>22</v>
      </c>
      <c r="G358" s="47">
        <v>0</v>
      </c>
      <c r="H358" s="47">
        <v>1</v>
      </c>
      <c r="I358" s="47">
        <v>113505</v>
      </c>
      <c r="J358" s="47">
        <v>55</v>
      </c>
      <c r="K358" s="47" t="s">
        <v>260</v>
      </c>
      <c r="L358" s="47" t="s">
        <v>15</v>
      </c>
    </row>
    <row r="359" spans="1:12">
      <c r="A359" s="47">
        <v>358</v>
      </c>
      <c r="B359" s="47">
        <v>0</v>
      </c>
      <c r="C359" s="47">
        <v>2</v>
      </c>
      <c r="D359" s="47" t="s">
        <v>532</v>
      </c>
      <c r="E359" s="47" t="s">
        <v>17</v>
      </c>
      <c r="F359" s="47">
        <v>38</v>
      </c>
      <c r="G359" s="47">
        <v>0</v>
      </c>
      <c r="H359" s="47">
        <v>0</v>
      </c>
      <c r="I359" s="47">
        <v>237671</v>
      </c>
      <c r="J359" s="47">
        <v>13</v>
      </c>
      <c r="L359" s="47" t="s">
        <v>15</v>
      </c>
    </row>
    <row r="360" spans="1:12">
      <c r="A360" s="47">
        <v>359</v>
      </c>
      <c r="B360" s="47">
        <v>1</v>
      </c>
      <c r="C360" s="47">
        <v>3</v>
      </c>
      <c r="D360" s="47" t="s">
        <v>533</v>
      </c>
      <c r="E360" s="47" t="s">
        <v>17</v>
      </c>
      <c r="G360" s="47">
        <v>0</v>
      </c>
      <c r="H360" s="47">
        <v>0</v>
      </c>
      <c r="I360" s="47">
        <v>330931</v>
      </c>
      <c r="J360" s="47">
        <v>7.8792</v>
      </c>
      <c r="L360" s="47" t="s">
        <v>27</v>
      </c>
    </row>
    <row r="361" spans="1:12">
      <c r="A361" s="47">
        <v>360</v>
      </c>
      <c r="B361" s="47">
        <v>1</v>
      </c>
      <c r="C361" s="47">
        <v>3</v>
      </c>
      <c r="D361" s="47" t="s">
        <v>534</v>
      </c>
      <c r="E361" s="47" t="s">
        <v>17</v>
      </c>
      <c r="G361" s="47">
        <v>0</v>
      </c>
      <c r="H361" s="47">
        <v>0</v>
      </c>
      <c r="I361" s="47">
        <v>330980</v>
      </c>
      <c r="J361" s="47">
        <v>7.8792</v>
      </c>
      <c r="L361" s="47" t="s">
        <v>27</v>
      </c>
    </row>
    <row r="362" spans="1:12">
      <c r="A362" s="47">
        <v>361</v>
      </c>
      <c r="B362" s="47">
        <v>0</v>
      </c>
      <c r="C362" s="47">
        <v>3</v>
      </c>
      <c r="D362" s="47" t="s">
        <v>535</v>
      </c>
      <c r="E362" s="47" t="s">
        <v>13</v>
      </c>
      <c r="F362" s="47">
        <v>40</v>
      </c>
      <c r="G362" s="47">
        <v>1</v>
      </c>
      <c r="H362" s="47">
        <v>4</v>
      </c>
      <c r="I362" s="47">
        <v>347088</v>
      </c>
      <c r="J362" s="47">
        <v>27.9</v>
      </c>
      <c r="L362" s="47" t="s">
        <v>15</v>
      </c>
    </row>
    <row r="363" spans="1:12">
      <c r="A363" s="47">
        <v>362</v>
      </c>
      <c r="B363" s="47">
        <v>0</v>
      </c>
      <c r="C363" s="47">
        <v>2</v>
      </c>
      <c r="D363" s="47" t="s">
        <v>536</v>
      </c>
      <c r="E363" s="47" t="s">
        <v>13</v>
      </c>
      <c r="F363" s="47">
        <v>29</v>
      </c>
      <c r="G363" s="47">
        <v>1</v>
      </c>
      <c r="H363" s="47">
        <v>0</v>
      </c>
      <c r="I363" s="47" t="s">
        <v>537</v>
      </c>
      <c r="J363" s="47">
        <v>27.7208</v>
      </c>
      <c r="L363" s="47" t="s">
        <v>20</v>
      </c>
    </row>
    <row r="364" spans="1:12">
      <c r="A364" s="47">
        <v>363</v>
      </c>
      <c r="B364" s="47">
        <v>0</v>
      </c>
      <c r="C364" s="47">
        <v>3</v>
      </c>
      <c r="D364" s="47" t="s">
        <v>538</v>
      </c>
      <c r="E364" s="47" t="s">
        <v>17</v>
      </c>
      <c r="F364" s="47">
        <v>45</v>
      </c>
      <c r="G364" s="47">
        <v>0</v>
      </c>
      <c r="H364" s="47">
        <v>1</v>
      </c>
      <c r="I364" s="47">
        <v>2691</v>
      </c>
      <c r="J364" s="47">
        <v>14.4542</v>
      </c>
      <c r="L364" s="47" t="s">
        <v>20</v>
      </c>
    </row>
    <row r="365" spans="1:12">
      <c r="A365" s="47">
        <v>364</v>
      </c>
      <c r="B365" s="47">
        <v>0</v>
      </c>
      <c r="C365" s="47">
        <v>3</v>
      </c>
      <c r="D365" s="47" t="s">
        <v>539</v>
      </c>
      <c r="E365" s="47" t="s">
        <v>13</v>
      </c>
      <c r="F365" s="47">
        <v>35</v>
      </c>
      <c r="G365" s="47">
        <v>0</v>
      </c>
      <c r="H365" s="47">
        <v>0</v>
      </c>
      <c r="I365" s="47" t="s">
        <v>540</v>
      </c>
      <c r="J365" s="47">
        <v>7.05</v>
      </c>
      <c r="L365" s="47" t="s">
        <v>15</v>
      </c>
    </row>
    <row r="366" spans="1:12">
      <c r="A366" s="47">
        <v>365</v>
      </c>
      <c r="B366" s="47">
        <v>0</v>
      </c>
      <c r="C366" s="47">
        <v>3</v>
      </c>
      <c r="D366" s="47" t="s">
        <v>541</v>
      </c>
      <c r="E366" s="47" t="s">
        <v>13</v>
      </c>
      <c r="G366" s="47">
        <v>1</v>
      </c>
      <c r="H366" s="47">
        <v>0</v>
      </c>
      <c r="I366" s="47">
        <v>370365</v>
      </c>
      <c r="J366" s="47">
        <v>15.5</v>
      </c>
      <c r="L366" s="47" t="s">
        <v>27</v>
      </c>
    </row>
    <row r="367" spans="1:12">
      <c r="A367" s="47">
        <v>366</v>
      </c>
      <c r="B367" s="47">
        <v>0</v>
      </c>
      <c r="C367" s="47">
        <v>3</v>
      </c>
      <c r="D367" s="47" t="s">
        <v>542</v>
      </c>
      <c r="E367" s="47" t="s">
        <v>13</v>
      </c>
      <c r="F367" s="47">
        <v>30</v>
      </c>
      <c r="G367" s="47">
        <v>0</v>
      </c>
      <c r="H367" s="47">
        <v>0</v>
      </c>
      <c r="I367" s="47" t="s">
        <v>543</v>
      </c>
      <c r="J367" s="47">
        <v>7.25</v>
      </c>
      <c r="L367" s="47" t="s">
        <v>15</v>
      </c>
    </row>
    <row r="368" spans="1:12">
      <c r="A368" s="47">
        <v>367</v>
      </c>
      <c r="B368" s="47">
        <v>1</v>
      </c>
      <c r="C368" s="47">
        <v>1</v>
      </c>
      <c r="D368" s="47" t="s">
        <v>544</v>
      </c>
      <c r="E368" s="47" t="s">
        <v>17</v>
      </c>
      <c r="F368" s="47">
        <v>60</v>
      </c>
      <c r="G368" s="47">
        <v>1</v>
      </c>
      <c r="H368" s="47">
        <v>0</v>
      </c>
      <c r="I368" s="47">
        <v>110813</v>
      </c>
      <c r="J368" s="47">
        <v>75.25</v>
      </c>
      <c r="K368" s="47" t="s">
        <v>545</v>
      </c>
      <c r="L368" s="47" t="s">
        <v>20</v>
      </c>
    </row>
    <row r="369" spans="1:12">
      <c r="A369" s="47">
        <v>368</v>
      </c>
      <c r="B369" s="47">
        <v>1</v>
      </c>
      <c r="C369" s="47">
        <v>3</v>
      </c>
      <c r="D369" s="47" t="s">
        <v>546</v>
      </c>
      <c r="E369" s="47" t="s">
        <v>17</v>
      </c>
      <c r="G369" s="47">
        <v>0</v>
      </c>
      <c r="H369" s="47">
        <v>0</v>
      </c>
      <c r="I369" s="47">
        <v>2626</v>
      </c>
      <c r="J369" s="47">
        <v>7.2292</v>
      </c>
      <c r="L369" s="47" t="s">
        <v>20</v>
      </c>
    </row>
    <row r="370" spans="1:12">
      <c r="A370" s="47">
        <v>369</v>
      </c>
      <c r="B370" s="47">
        <v>1</v>
      </c>
      <c r="C370" s="47">
        <v>3</v>
      </c>
      <c r="D370" s="47" t="s">
        <v>547</v>
      </c>
      <c r="E370" s="47" t="s">
        <v>17</v>
      </c>
      <c r="G370" s="47">
        <v>0</v>
      </c>
      <c r="H370" s="47">
        <v>0</v>
      </c>
      <c r="I370" s="47">
        <v>14313</v>
      </c>
      <c r="J370" s="47">
        <v>7.75</v>
      </c>
      <c r="L370" s="47" t="s">
        <v>27</v>
      </c>
    </row>
    <row r="371" spans="1:12">
      <c r="A371" s="47">
        <v>370</v>
      </c>
      <c r="B371" s="47">
        <v>1</v>
      </c>
      <c r="C371" s="47">
        <v>1</v>
      </c>
      <c r="D371" s="47" t="s">
        <v>548</v>
      </c>
      <c r="E371" s="47" t="s">
        <v>17</v>
      </c>
      <c r="F371" s="47">
        <v>24</v>
      </c>
      <c r="G371" s="47">
        <v>0</v>
      </c>
      <c r="H371" s="47">
        <v>0</v>
      </c>
      <c r="I371" s="47" t="s">
        <v>549</v>
      </c>
      <c r="J371" s="47">
        <v>69.3</v>
      </c>
      <c r="K371" s="47" t="s">
        <v>550</v>
      </c>
      <c r="L371" s="47" t="s">
        <v>20</v>
      </c>
    </row>
    <row r="372" spans="1:12">
      <c r="A372" s="47">
        <v>371</v>
      </c>
      <c r="B372" s="47">
        <v>1</v>
      </c>
      <c r="C372" s="47">
        <v>1</v>
      </c>
      <c r="D372" s="47" t="s">
        <v>551</v>
      </c>
      <c r="E372" s="47" t="s">
        <v>13</v>
      </c>
      <c r="F372" s="47">
        <v>25</v>
      </c>
      <c r="G372" s="47">
        <v>1</v>
      </c>
      <c r="H372" s="47">
        <v>0</v>
      </c>
      <c r="I372" s="47">
        <v>11765</v>
      </c>
      <c r="J372" s="47">
        <v>55.4417</v>
      </c>
      <c r="K372" s="47" t="s">
        <v>552</v>
      </c>
      <c r="L372" s="47" t="s">
        <v>20</v>
      </c>
    </row>
    <row r="373" spans="1:12">
      <c r="A373" s="47">
        <v>372</v>
      </c>
      <c r="B373" s="47">
        <v>0</v>
      </c>
      <c r="C373" s="47">
        <v>3</v>
      </c>
      <c r="D373" s="47" t="s">
        <v>553</v>
      </c>
      <c r="E373" s="47" t="s">
        <v>13</v>
      </c>
      <c r="F373" s="47">
        <v>18</v>
      </c>
      <c r="G373" s="47">
        <v>1</v>
      </c>
      <c r="H373" s="47">
        <v>0</v>
      </c>
      <c r="I373" s="47">
        <v>3101267</v>
      </c>
      <c r="J373" s="47">
        <v>6.4958</v>
      </c>
      <c r="L373" s="47" t="s">
        <v>15</v>
      </c>
    </row>
    <row r="374" spans="1:12">
      <c r="A374" s="47">
        <v>373</v>
      </c>
      <c r="B374" s="47">
        <v>0</v>
      </c>
      <c r="C374" s="47">
        <v>3</v>
      </c>
      <c r="D374" s="47" t="s">
        <v>554</v>
      </c>
      <c r="E374" s="47" t="s">
        <v>13</v>
      </c>
      <c r="F374" s="47">
        <v>19</v>
      </c>
      <c r="G374" s="47">
        <v>0</v>
      </c>
      <c r="H374" s="47">
        <v>0</v>
      </c>
      <c r="I374" s="47">
        <v>323951</v>
      </c>
      <c r="J374" s="47">
        <v>8.05</v>
      </c>
      <c r="L374" s="47" t="s">
        <v>15</v>
      </c>
    </row>
    <row r="375" spans="1:12">
      <c r="A375" s="47">
        <v>374</v>
      </c>
      <c r="B375" s="47">
        <v>0</v>
      </c>
      <c r="C375" s="47">
        <v>1</v>
      </c>
      <c r="D375" s="47" t="s">
        <v>555</v>
      </c>
      <c r="E375" s="47" t="s">
        <v>13</v>
      </c>
      <c r="F375" s="47">
        <v>22</v>
      </c>
      <c r="G375" s="47">
        <v>0</v>
      </c>
      <c r="H375" s="47">
        <v>0</v>
      </c>
      <c r="I375" s="47" t="s">
        <v>409</v>
      </c>
      <c r="J375" s="47">
        <v>135.6333</v>
      </c>
      <c r="L375" s="47" t="s">
        <v>20</v>
      </c>
    </row>
    <row r="376" spans="1:12">
      <c r="A376" s="47">
        <v>375</v>
      </c>
      <c r="B376" s="47">
        <v>0</v>
      </c>
      <c r="C376" s="47">
        <v>3</v>
      </c>
      <c r="D376" s="47" t="s">
        <v>556</v>
      </c>
      <c r="E376" s="47" t="s">
        <v>17</v>
      </c>
      <c r="F376" s="47">
        <v>3</v>
      </c>
      <c r="G376" s="47">
        <v>3</v>
      </c>
      <c r="H376" s="47">
        <v>1</v>
      </c>
      <c r="I376" s="47">
        <v>349909</v>
      </c>
      <c r="J376" s="47">
        <v>21.075</v>
      </c>
      <c r="L376" s="47" t="s">
        <v>15</v>
      </c>
    </row>
    <row r="377" spans="1:12">
      <c r="A377" s="47">
        <v>376</v>
      </c>
      <c r="B377" s="47">
        <v>1</v>
      </c>
      <c r="C377" s="47">
        <v>1</v>
      </c>
      <c r="D377" s="47" t="s">
        <v>557</v>
      </c>
      <c r="E377" s="47" t="s">
        <v>17</v>
      </c>
      <c r="G377" s="47">
        <v>1</v>
      </c>
      <c r="H377" s="47">
        <v>0</v>
      </c>
      <c r="I377" s="47" t="s">
        <v>69</v>
      </c>
      <c r="J377" s="47">
        <v>82.1708</v>
      </c>
      <c r="L377" s="47" t="s">
        <v>20</v>
      </c>
    </row>
    <row r="378" spans="1:12">
      <c r="A378" s="47">
        <v>377</v>
      </c>
      <c r="B378" s="47">
        <v>1</v>
      </c>
      <c r="C378" s="47">
        <v>3</v>
      </c>
      <c r="D378" s="47" t="s">
        <v>558</v>
      </c>
      <c r="E378" s="47" t="s">
        <v>17</v>
      </c>
      <c r="F378" s="47">
        <v>22</v>
      </c>
      <c r="G378" s="47">
        <v>0</v>
      </c>
      <c r="H378" s="47">
        <v>0</v>
      </c>
      <c r="I378" s="47" t="s">
        <v>559</v>
      </c>
      <c r="J378" s="47">
        <v>7.25</v>
      </c>
      <c r="L378" s="47" t="s">
        <v>15</v>
      </c>
    </row>
    <row r="379" spans="1:12">
      <c r="A379" s="47">
        <v>378</v>
      </c>
      <c r="B379" s="47">
        <v>0</v>
      </c>
      <c r="C379" s="47">
        <v>1</v>
      </c>
      <c r="D379" s="47" t="s">
        <v>560</v>
      </c>
      <c r="E379" s="47" t="s">
        <v>13</v>
      </c>
      <c r="F379" s="47">
        <v>27</v>
      </c>
      <c r="G379" s="47">
        <v>0</v>
      </c>
      <c r="H379" s="47">
        <v>2</v>
      </c>
      <c r="I379" s="47">
        <v>113503</v>
      </c>
      <c r="J379" s="47">
        <v>211.5</v>
      </c>
      <c r="K379" s="47" t="s">
        <v>561</v>
      </c>
      <c r="L379" s="47" t="s">
        <v>20</v>
      </c>
    </row>
    <row r="380" spans="1:12">
      <c r="A380" s="47">
        <v>379</v>
      </c>
      <c r="B380" s="47">
        <v>0</v>
      </c>
      <c r="C380" s="47">
        <v>3</v>
      </c>
      <c r="D380" s="47" t="s">
        <v>562</v>
      </c>
      <c r="E380" s="47" t="s">
        <v>13</v>
      </c>
      <c r="F380" s="47">
        <v>20</v>
      </c>
      <c r="G380" s="47">
        <v>0</v>
      </c>
      <c r="H380" s="47">
        <v>0</v>
      </c>
      <c r="I380" s="47">
        <v>2648</v>
      </c>
      <c r="J380" s="47">
        <v>4.0125</v>
      </c>
      <c r="L380" s="47" t="s">
        <v>20</v>
      </c>
    </row>
    <row r="381" spans="1:12">
      <c r="A381" s="47">
        <v>380</v>
      </c>
      <c r="B381" s="47">
        <v>0</v>
      </c>
      <c r="C381" s="47">
        <v>3</v>
      </c>
      <c r="D381" s="47" t="s">
        <v>563</v>
      </c>
      <c r="E381" s="47" t="s">
        <v>13</v>
      </c>
      <c r="F381" s="47">
        <v>19</v>
      </c>
      <c r="G381" s="47">
        <v>0</v>
      </c>
      <c r="H381" s="47">
        <v>0</v>
      </c>
      <c r="I381" s="47">
        <v>347069</v>
      </c>
      <c r="J381" s="47">
        <v>7.775</v>
      </c>
      <c r="L381" s="47" t="s">
        <v>15</v>
      </c>
    </row>
    <row r="382" spans="1:12">
      <c r="A382" s="47">
        <v>381</v>
      </c>
      <c r="B382" s="47">
        <v>1</v>
      </c>
      <c r="C382" s="47">
        <v>1</v>
      </c>
      <c r="D382" s="47" t="s">
        <v>564</v>
      </c>
      <c r="E382" s="47" t="s">
        <v>17</v>
      </c>
      <c r="F382" s="47">
        <v>42</v>
      </c>
      <c r="G382" s="47">
        <v>0</v>
      </c>
      <c r="H382" s="47">
        <v>0</v>
      </c>
      <c r="I382" s="47" t="s">
        <v>565</v>
      </c>
      <c r="J382" s="47">
        <v>227.525</v>
      </c>
      <c r="L382" s="47" t="s">
        <v>20</v>
      </c>
    </row>
    <row r="383" spans="1:12">
      <c r="A383" s="47">
        <v>382</v>
      </c>
      <c r="B383" s="47">
        <v>1</v>
      </c>
      <c r="C383" s="47">
        <v>3</v>
      </c>
      <c r="D383" s="47" t="s">
        <v>566</v>
      </c>
      <c r="E383" s="47" t="s">
        <v>17</v>
      </c>
      <c r="F383" s="47">
        <v>1</v>
      </c>
      <c r="G383" s="47">
        <v>0</v>
      </c>
      <c r="H383" s="47">
        <v>2</v>
      </c>
      <c r="I383" s="47">
        <v>2653</v>
      </c>
      <c r="J383" s="47">
        <v>15.7417</v>
      </c>
      <c r="L383" s="47" t="s">
        <v>20</v>
      </c>
    </row>
    <row r="384" spans="1:12">
      <c r="A384" s="47">
        <v>383</v>
      </c>
      <c r="B384" s="47">
        <v>0</v>
      </c>
      <c r="C384" s="47">
        <v>3</v>
      </c>
      <c r="D384" s="47" t="s">
        <v>567</v>
      </c>
      <c r="E384" s="47" t="s">
        <v>13</v>
      </c>
      <c r="F384" s="47">
        <v>32</v>
      </c>
      <c r="G384" s="47">
        <v>0</v>
      </c>
      <c r="H384" s="47">
        <v>0</v>
      </c>
      <c r="I384" s="47" t="s">
        <v>568</v>
      </c>
      <c r="J384" s="47">
        <v>7.925</v>
      </c>
      <c r="L384" s="47" t="s">
        <v>15</v>
      </c>
    </row>
    <row r="385" spans="1:12">
      <c r="A385" s="47">
        <v>384</v>
      </c>
      <c r="B385" s="47">
        <v>1</v>
      </c>
      <c r="C385" s="47">
        <v>1</v>
      </c>
      <c r="D385" s="47" t="s">
        <v>569</v>
      </c>
      <c r="E385" s="47" t="s">
        <v>17</v>
      </c>
      <c r="F385" s="47">
        <v>35</v>
      </c>
      <c r="G385" s="47">
        <v>1</v>
      </c>
      <c r="H385" s="47">
        <v>0</v>
      </c>
      <c r="I385" s="47">
        <v>113789</v>
      </c>
      <c r="J385" s="47">
        <v>52</v>
      </c>
      <c r="L385" s="47" t="s">
        <v>15</v>
      </c>
    </row>
    <row r="386" spans="1:12">
      <c r="A386" s="47">
        <v>385</v>
      </c>
      <c r="B386" s="47">
        <v>0</v>
      </c>
      <c r="C386" s="47">
        <v>3</v>
      </c>
      <c r="D386" s="47" t="s">
        <v>570</v>
      </c>
      <c r="E386" s="47" t="s">
        <v>13</v>
      </c>
      <c r="G386" s="47">
        <v>0</v>
      </c>
      <c r="H386" s="47">
        <v>0</v>
      </c>
      <c r="I386" s="47">
        <v>349227</v>
      </c>
      <c r="J386" s="47">
        <v>7.8958</v>
      </c>
      <c r="L386" s="47" t="s">
        <v>15</v>
      </c>
    </row>
    <row r="387" spans="1:12">
      <c r="A387" s="47">
        <v>386</v>
      </c>
      <c r="B387" s="47">
        <v>0</v>
      </c>
      <c r="C387" s="47">
        <v>2</v>
      </c>
      <c r="D387" s="47" t="s">
        <v>571</v>
      </c>
      <c r="E387" s="47" t="s">
        <v>13</v>
      </c>
      <c r="F387" s="47">
        <v>18</v>
      </c>
      <c r="G387" s="47">
        <v>0</v>
      </c>
      <c r="H387" s="47">
        <v>0</v>
      </c>
      <c r="I387" s="47" t="s">
        <v>126</v>
      </c>
      <c r="J387" s="47">
        <v>73.5</v>
      </c>
      <c r="L387" s="47" t="s">
        <v>15</v>
      </c>
    </row>
    <row r="388" spans="1:12">
      <c r="A388" s="47">
        <v>387</v>
      </c>
      <c r="B388" s="47">
        <v>0</v>
      </c>
      <c r="C388" s="47">
        <v>3</v>
      </c>
      <c r="D388" s="47" t="s">
        <v>572</v>
      </c>
      <c r="E388" s="47" t="s">
        <v>13</v>
      </c>
      <c r="F388" s="47">
        <v>1</v>
      </c>
      <c r="G388" s="47">
        <v>5</v>
      </c>
      <c r="H388" s="47">
        <v>2</v>
      </c>
      <c r="I388" s="47" t="s">
        <v>105</v>
      </c>
      <c r="J388" s="47">
        <v>46.9</v>
      </c>
      <c r="L388" s="47" t="s">
        <v>15</v>
      </c>
    </row>
    <row r="389" spans="1:12">
      <c r="A389" s="47">
        <v>388</v>
      </c>
      <c r="B389" s="47">
        <v>1</v>
      </c>
      <c r="C389" s="47">
        <v>2</v>
      </c>
      <c r="D389" s="47" t="s">
        <v>573</v>
      </c>
      <c r="E389" s="47" t="s">
        <v>17</v>
      </c>
      <c r="F389" s="47">
        <v>36</v>
      </c>
      <c r="G389" s="47">
        <v>0</v>
      </c>
      <c r="H389" s="47">
        <v>0</v>
      </c>
      <c r="I389" s="47">
        <v>27849</v>
      </c>
      <c r="J389" s="47">
        <v>13</v>
      </c>
      <c r="L389" s="47" t="s">
        <v>15</v>
      </c>
    </row>
    <row r="390" spans="1:12">
      <c r="A390" s="47">
        <v>389</v>
      </c>
      <c r="B390" s="47">
        <v>0</v>
      </c>
      <c r="C390" s="47">
        <v>3</v>
      </c>
      <c r="D390" s="47" t="s">
        <v>574</v>
      </c>
      <c r="E390" s="47" t="s">
        <v>13</v>
      </c>
      <c r="G390" s="47">
        <v>0</v>
      </c>
      <c r="H390" s="47">
        <v>0</v>
      </c>
      <c r="I390" s="47">
        <v>367655</v>
      </c>
      <c r="J390" s="47">
        <v>7.7292</v>
      </c>
      <c r="L390" s="47" t="s">
        <v>27</v>
      </c>
    </row>
    <row r="391" spans="1:12">
      <c r="A391" s="47">
        <v>390</v>
      </c>
      <c r="B391" s="47">
        <v>1</v>
      </c>
      <c r="C391" s="47">
        <v>2</v>
      </c>
      <c r="D391" s="47" t="s">
        <v>575</v>
      </c>
      <c r="E391" s="47" t="s">
        <v>17</v>
      </c>
      <c r="F391" s="47">
        <v>17</v>
      </c>
      <c r="G391" s="47">
        <v>0</v>
      </c>
      <c r="H391" s="47">
        <v>0</v>
      </c>
      <c r="I391" s="47" t="s">
        <v>576</v>
      </c>
      <c r="J391" s="47">
        <v>12</v>
      </c>
      <c r="L391" s="47" t="s">
        <v>20</v>
      </c>
    </row>
    <row r="392" spans="1:12">
      <c r="A392" s="47">
        <v>391</v>
      </c>
      <c r="B392" s="47">
        <v>1</v>
      </c>
      <c r="C392" s="47">
        <v>1</v>
      </c>
      <c r="D392" s="47" t="s">
        <v>577</v>
      </c>
      <c r="E392" s="47" t="s">
        <v>13</v>
      </c>
      <c r="F392" s="47">
        <v>36</v>
      </c>
      <c r="G392" s="47">
        <v>1</v>
      </c>
      <c r="H392" s="47">
        <v>2</v>
      </c>
      <c r="I392" s="47">
        <v>113760</v>
      </c>
      <c r="J392" s="47">
        <v>120</v>
      </c>
      <c r="K392" s="47" t="s">
        <v>578</v>
      </c>
      <c r="L392" s="47" t="s">
        <v>15</v>
      </c>
    </row>
    <row r="393" spans="1:12">
      <c r="A393" s="47">
        <v>392</v>
      </c>
      <c r="B393" s="47">
        <v>1</v>
      </c>
      <c r="C393" s="47">
        <v>3</v>
      </c>
      <c r="D393" s="47" t="s">
        <v>579</v>
      </c>
      <c r="E393" s="47" t="s">
        <v>13</v>
      </c>
      <c r="F393" s="47">
        <v>21</v>
      </c>
      <c r="G393" s="47">
        <v>0</v>
      </c>
      <c r="H393" s="47">
        <v>0</v>
      </c>
      <c r="I393" s="47">
        <v>350034</v>
      </c>
      <c r="J393" s="47">
        <v>7.7958</v>
      </c>
      <c r="L393" s="47" t="s">
        <v>15</v>
      </c>
    </row>
    <row r="394" spans="1:12">
      <c r="A394" s="47">
        <v>393</v>
      </c>
      <c r="B394" s="47">
        <v>0</v>
      </c>
      <c r="C394" s="47">
        <v>3</v>
      </c>
      <c r="D394" s="47" t="s">
        <v>580</v>
      </c>
      <c r="E394" s="47" t="s">
        <v>13</v>
      </c>
      <c r="F394" s="47">
        <v>28</v>
      </c>
      <c r="G394" s="47">
        <v>2</v>
      </c>
      <c r="H394" s="47">
        <v>0</v>
      </c>
      <c r="I394" s="47">
        <v>3101277</v>
      </c>
      <c r="J394" s="47">
        <v>7.925</v>
      </c>
      <c r="L394" s="47" t="s">
        <v>15</v>
      </c>
    </row>
    <row r="395" spans="1:12">
      <c r="A395" s="47">
        <v>394</v>
      </c>
      <c r="B395" s="47">
        <v>1</v>
      </c>
      <c r="C395" s="47">
        <v>1</v>
      </c>
      <c r="D395" s="47" t="s">
        <v>581</v>
      </c>
      <c r="E395" s="47" t="s">
        <v>17</v>
      </c>
      <c r="F395" s="47">
        <v>23</v>
      </c>
      <c r="G395" s="47">
        <v>1</v>
      </c>
      <c r="H395" s="47">
        <v>0</v>
      </c>
      <c r="I395" s="47">
        <v>35273</v>
      </c>
      <c r="J395" s="47">
        <v>113.275</v>
      </c>
      <c r="K395" s="47" t="s">
        <v>328</v>
      </c>
      <c r="L395" s="47" t="s">
        <v>20</v>
      </c>
    </row>
    <row r="396" spans="1:12">
      <c r="A396" s="47">
        <v>395</v>
      </c>
      <c r="B396" s="47">
        <v>1</v>
      </c>
      <c r="C396" s="47">
        <v>3</v>
      </c>
      <c r="D396" s="47" t="s">
        <v>582</v>
      </c>
      <c r="E396" s="47" t="s">
        <v>17</v>
      </c>
      <c r="F396" s="47">
        <v>24</v>
      </c>
      <c r="G396" s="47">
        <v>0</v>
      </c>
      <c r="H396" s="47">
        <v>2</v>
      </c>
      <c r="I396" s="47" t="s">
        <v>34</v>
      </c>
      <c r="J396" s="47">
        <v>16.7</v>
      </c>
      <c r="K396" s="47" t="s">
        <v>35</v>
      </c>
      <c r="L396" s="47" t="s">
        <v>15</v>
      </c>
    </row>
    <row r="397" spans="1:12">
      <c r="A397" s="47">
        <v>396</v>
      </c>
      <c r="B397" s="47">
        <v>0</v>
      </c>
      <c r="C397" s="47">
        <v>3</v>
      </c>
      <c r="D397" s="47" t="s">
        <v>583</v>
      </c>
      <c r="E397" s="47" t="s">
        <v>13</v>
      </c>
      <c r="F397" s="47">
        <v>22</v>
      </c>
      <c r="G397" s="47">
        <v>0</v>
      </c>
      <c r="H397" s="47">
        <v>0</v>
      </c>
      <c r="I397" s="47">
        <v>350052</v>
      </c>
      <c r="J397" s="47">
        <v>7.7958</v>
      </c>
      <c r="L397" s="47" t="s">
        <v>15</v>
      </c>
    </row>
    <row r="398" spans="1:12">
      <c r="A398" s="47">
        <v>397</v>
      </c>
      <c r="B398" s="47">
        <v>0</v>
      </c>
      <c r="C398" s="47">
        <v>3</v>
      </c>
      <c r="D398" s="47" t="s">
        <v>584</v>
      </c>
      <c r="E398" s="47" t="s">
        <v>17</v>
      </c>
      <c r="F398" s="47">
        <v>31</v>
      </c>
      <c r="G398" s="47">
        <v>0</v>
      </c>
      <c r="H398" s="47">
        <v>0</v>
      </c>
      <c r="I398" s="47">
        <v>350407</v>
      </c>
      <c r="J398" s="47">
        <v>7.8542</v>
      </c>
      <c r="L398" s="47" t="s">
        <v>15</v>
      </c>
    </row>
    <row r="399" spans="1:12">
      <c r="A399" s="47">
        <v>398</v>
      </c>
      <c r="B399" s="47">
        <v>0</v>
      </c>
      <c r="C399" s="47">
        <v>2</v>
      </c>
      <c r="D399" s="47" t="s">
        <v>585</v>
      </c>
      <c r="E399" s="47" t="s">
        <v>13</v>
      </c>
      <c r="F399" s="47">
        <v>46</v>
      </c>
      <c r="G399" s="47">
        <v>0</v>
      </c>
      <c r="H399" s="47">
        <v>0</v>
      </c>
      <c r="I399" s="47">
        <v>28403</v>
      </c>
      <c r="J399" s="47">
        <v>26</v>
      </c>
      <c r="L399" s="47" t="s">
        <v>15</v>
      </c>
    </row>
    <row r="400" spans="1:12">
      <c r="A400" s="47">
        <v>399</v>
      </c>
      <c r="B400" s="47">
        <v>0</v>
      </c>
      <c r="C400" s="47">
        <v>2</v>
      </c>
      <c r="D400" s="47" t="s">
        <v>586</v>
      </c>
      <c r="E400" s="47" t="s">
        <v>13</v>
      </c>
      <c r="F400" s="47">
        <v>23</v>
      </c>
      <c r="G400" s="47">
        <v>0</v>
      </c>
      <c r="H400" s="47">
        <v>0</v>
      </c>
      <c r="I400" s="47">
        <v>244278</v>
      </c>
      <c r="J400" s="47">
        <v>10.5</v>
      </c>
      <c r="L400" s="47" t="s">
        <v>15</v>
      </c>
    </row>
    <row r="401" spans="1:12">
      <c r="A401" s="47">
        <v>400</v>
      </c>
      <c r="B401" s="47">
        <v>1</v>
      </c>
      <c r="C401" s="47">
        <v>2</v>
      </c>
      <c r="D401" s="47" t="s">
        <v>587</v>
      </c>
      <c r="E401" s="47" t="s">
        <v>17</v>
      </c>
      <c r="F401" s="47">
        <v>28</v>
      </c>
      <c r="G401" s="47">
        <v>0</v>
      </c>
      <c r="H401" s="47">
        <v>0</v>
      </c>
      <c r="I401" s="47">
        <v>240929</v>
      </c>
      <c r="J401" s="47">
        <v>12.65</v>
      </c>
      <c r="L401" s="47" t="s">
        <v>15</v>
      </c>
    </row>
    <row r="402" spans="1:12">
      <c r="A402" s="47">
        <v>401</v>
      </c>
      <c r="B402" s="47">
        <v>1</v>
      </c>
      <c r="C402" s="47">
        <v>3</v>
      </c>
      <c r="D402" s="47" t="s">
        <v>588</v>
      </c>
      <c r="E402" s="47" t="s">
        <v>13</v>
      </c>
      <c r="F402" s="47">
        <v>39</v>
      </c>
      <c r="G402" s="47">
        <v>0</v>
      </c>
      <c r="H402" s="47">
        <v>0</v>
      </c>
      <c r="I402" s="47" t="s">
        <v>589</v>
      </c>
      <c r="J402" s="47">
        <v>7.925</v>
      </c>
      <c r="L402" s="47" t="s">
        <v>15</v>
      </c>
    </row>
    <row r="403" spans="1:12">
      <c r="A403" s="47">
        <v>402</v>
      </c>
      <c r="B403" s="47">
        <v>0</v>
      </c>
      <c r="C403" s="47">
        <v>3</v>
      </c>
      <c r="D403" s="47" t="s">
        <v>590</v>
      </c>
      <c r="E403" s="47" t="s">
        <v>13</v>
      </c>
      <c r="F403" s="47">
        <v>26</v>
      </c>
      <c r="G403" s="47">
        <v>0</v>
      </c>
      <c r="H403" s="47">
        <v>0</v>
      </c>
      <c r="I403" s="47">
        <v>341826</v>
      </c>
      <c r="J403" s="47">
        <v>8.05</v>
      </c>
      <c r="L403" s="47" t="s">
        <v>15</v>
      </c>
    </row>
    <row r="404" spans="1:12">
      <c r="A404" s="47">
        <v>403</v>
      </c>
      <c r="B404" s="47">
        <v>0</v>
      </c>
      <c r="C404" s="47">
        <v>3</v>
      </c>
      <c r="D404" s="47" t="s">
        <v>591</v>
      </c>
      <c r="E404" s="47" t="s">
        <v>17</v>
      </c>
      <c r="F404" s="47">
        <v>21</v>
      </c>
      <c r="G404" s="47">
        <v>1</v>
      </c>
      <c r="H404" s="47">
        <v>0</v>
      </c>
      <c r="I404" s="47">
        <v>4137</v>
      </c>
      <c r="J404" s="47">
        <v>9.825</v>
      </c>
      <c r="L404" s="47" t="s">
        <v>15</v>
      </c>
    </row>
    <row r="405" spans="1:12">
      <c r="A405" s="47">
        <v>404</v>
      </c>
      <c r="B405" s="47">
        <v>0</v>
      </c>
      <c r="C405" s="47">
        <v>3</v>
      </c>
      <c r="D405" s="47" t="s">
        <v>592</v>
      </c>
      <c r="E405" s="47" t="s">
        <v>13</v>
      </c>
      <c r="F405" s="47">
        <v>28</v>
      </c>
      <c r="G405" s="47">
        <v>1</v>
      </c>
      <c r="H405" s="47">
        <v>0</v>
      </c>
      <c r="I405" s="47" t="s">
        <v>224</v>
      </c>
      <c r="J405" s="47">
        <v>15.85</v>
      </c>
      <c r="L405" s="47" t="s">
        <v>15</v>
      </c>
    </row>
    <row r="406" spans="1:12">
      <c r="A406" s="47">
        <v>405</v>
      </c>
      <c r="B406" s="47">
        <v>0</v>
      </c>
      <c r="C406" s="47">
        <v>3</v>
      </c>
      <c r="D406" s="47" t="s">
        <v>593</v>
      </c>
      <c r="E406" s="47" t="s">
        <v>17</v>
      </c>
      <c r="F406" s="47">
        <v>20</v>
      </c>
      <c r="G406" s="47">
        <v>0</v>
      </c>
      <c r="H406" s="47">
        <v>0</v>
      </c>
      <c r="I406" s="47">
        <v>315096</v>
      </c>
      <c r="J406" s="47">
        <v>8.6625</v>
      </c>
      <c r="L406" s="47" t="s">
        <v>15</v>
      </c>
    </row>
    <row r="407" spans="1:12">
      <c r="A407" s="47">
        <v>406</v>
      </c>
      <c r="B407" s="47">
        <v>0</v>
      </c>
      <c r="C407" s="47">
        <v>2</v>
      </c>
      <c r="D407" s="47" t="s">
        <v>594</v>
      </c>
      <c r="E407" s="47" t="s">
        <v>13</v>
      </c>
      <c r="F407" s="47">
        <v>34</v>
      </c>
      <c r="G407" s="47">
        <v>1</v>
      </c>
      <c r="H407" s="47">
        <v>0</v>
      </c>
      <c r="I407" s="47">
        <v>28664</v>
      </c>
      <c r="J407" s="47">
        <v>21</v>
      </c>
      <c r="L407" s="47" t="s">
        <v>15</v>
      </c>
    </row>
    <row r="408" spans="1:12">
      <c r="A408" s="47">
        <v>407</v>
      </c>
      <c r="B408" s="47">
        <v>0</v>
      </c>
      <c r="C408" s="47">
        <v>3</v>
      </c>
      <c r="D408" s="47" t="s">
        <v>595</v>
      </c>
      <c r="E408" s="47" t="s">
        <v>13</v>
      </c>
      <c r="F408" s="47">
        <v>51</v>
      </c>
      <c r="G408" s="47">
        <v>0</v>
      </c>
      <c r="H408" s="47">
        <v>0</v>
      </c>
      <c r="I408" s="47">
        <v>347064</v>
      </c>
      <c r="J408" s="47">
        <v>7.75</v>
      </c>
      <c r="L408" s="47" t="s">
        <v>15</v>
      </c>
    </row>
    <row r="409" spans="1:12">
      <c r="A409" s="47">
        <v>408</v>
      </c>
      <c r="B409" s="47">
        <v>1</v>
      </c>
      <c r="C409" s="47">
        <v>2</v>
      </c>
      <c r="D409" s="47" t="s">
        <v>596</v>
      </c>
      <c r="E409" s="47" t="s">
        <v>13</v>
      </c>
      <c r="F409" s="47">
        <v>3</v>
      </c>
      <c r="G409" s="47">
        <v>1</v>
      </c>
      <c r="H409" s="47">
        <v>1</v>
      </c>
      <c r="I409" s="47">
        <v>29106</v>
      </c>
      <c r="J409" s="47">
        <v>18.75</v>
      </c>
      <c r="L409" s="47" t="s">
        <v>15</v>
      </c>
    </row>
    <row r="410" spans="1:12">
      <c r="A410" s="47">
        <v>409</v>
      </c>
      <c r="B410" s="47">
        <v>0</v>
      </c>
      <c r="C410" s="47">
        <v>3</v>
      </c>
      <c r="D410" s="47" t="s">
        <v>597</v>
      </c>
      <c r="E410" s="47" t="s">
        <v>13</v>
      </c>
      <c r="F410" s="47">
        <v>21</v>
      </c>
      <c r="G410" s="47">
        <v>0</v>
      </c>
      <c r="H410" s="47">
        <v>0</v>
      </c>
      <c r="I410" s="47">
        <v>312992</v>
      </c>
      <c r="J410" s="47">
        <v>7.775</v>
      </c>
      <c r="L410" s="47" t="s">
        <v>15</v>
      </c>
    </row>
    <row r="411" spans="1:12">
      <c r="A411" s="47">
        <v>410</v>
      </c>
      <c r="B411" s="47">
        <v>0</v>
      </c>
      <c r="C411" s="47">
        <v>3</v>
      </c>
      <c r="D411" s="47" t="s">
        <v>598</v>
      </c>
      <c r="E411" s="47" t="s">
        <v>17</v>
      </c>
      <c r="G411" s="47">
        <v>3</v>
      </c>
      <c r="H411" s="47">
        <v>1</v>
      </c>
      <c r="I411" s="47">
        <v>4133</v>
      </c>
      <c r="J411" s="47">
        <v>25.4667</v>
      </c>
      <c r="L411" s="47" t="s">
        <v>15</v>
      </c>
    </row>
    <row r="412" spans="1:12">
      <c r="A412" s="47">
        <v>411</v>
      </c>
      <c r="B412" s="47">
        <v>0</v>
      </c>
      <c r="C412" s="47">
        <v>3</v>
      </c>
      <c r="D412" s="47" t="s">
        <v>599</v>
      </c>
      <c r="E412" s="47" t="s">
        <v>13</v>
      </c>
      <c r="G412" s="47">
        <v>0</v>
      </c>
      <c r="H412" s="47">
        <v>0</v>
      </c>
      <c r="I412" s="47">
        <v>349222</v>
      </c>
      <c r="J412" s="47">
        <v>7.8958</v>
      </c>
      <c r="L412" s="47" t="s">
        <v>15</v>
      </c>
    </row>
    <row r="413" spans="1:12">
      <c r="A413" s="47">
        <v>412</v>
      </c>
      <c r="B413" s="47">
        <v>0</v>
      </c>
      <c r="C413" s="47">
        <v>3</v>
      </c>
      <c r="D413" s="47" t="s">
        <v>600</v>
      </c>
      <c r="E413" s="47" t="s">
        <v>13</v>
      </c>
      <c r="G413" s="47">
        <v>0</v>
      </c>
      <c r="H413" s="47">
        <v>0</v>
      </c>
      <c r="I413" s="47">
        <v>394140</v>
      </c>
      <c r="J413" s="47">
        <v>6.8583</v>
      </c>
      <c r="L413" s="47" t="s">
        <v>27</v>
      </c>
    </row>
    <row r="414" spans="1:12">
      <c r="A414" s="47">
        <v>413</v>
      </c>
      <c r="B414" s="47">
        <v>1</v>
      </c>
      <c r="C414" s="47">
        <v>1</v>
      </c>
      <c r="D414" s="47" t="s">
        <v>601</v>
      </c>
      <c r="E414" s="47" t="s">
        <v>17</v>
      </c>
      <c r="F414" s="47">
        <v>33</v>
      </c>
      <c r="G414" s="47">
        <v>1</v>
      </c>
      <c r="H414" s="47">
        <v>0</v>
      </c>
      <c r="I414" s="47">
        <v>19928</v>
      </c>
      <c r="J414" s="47">
        <v>90</v>
      </c>
      <c r="K414" s="47" t="s">
        <v>373</v>
      </c>
      <c r="L414" s="47" t="s">
        <v>27</v>
      </c>
    </row>
    <row r="415" spans="1:12">
      <c r="A415" s="47">
        <v>414</v>
      </c>
      <c r="B415" s="47">
        <v>0</v>
      </c>
      <c r="C415" s="47">
        <v>2</v>
      </c>
      <c r="D415" s="47" t="s">
        <v>602</v>
      </c>
      <c r="E415" s="47" t="s">
        <v>13</v>
      </c>
      <c r="G415" s="47">
        <v>0</v>
      </c>
      <c r="H415" s="47">
        <v>0</v>
      </c>
      <c r="I415" s="47">
        <v>239853</v>
      </c>
      <c r="J415" s="47">
        <v>0</v>
      </c>
      <c r="L415" s="47" t="s">
        <v>15</v>
      </c>
    </row>
    <row r="416" spans="1:12">
      <c r="A416" s="47">
        <v>415</v>
      </c>
      <c r="B416" s="47">
        <v>1</v>
      </c>
      <c r="C416" s="47">
        <v>3</v>
      </c>
      <c r="D416" s="47" t="s">
        <v>603</v>
      </c>
      <c r="E416" s="47" t="s">
        <v>13</v>
      </c>
      <c r="F416" s="47">
        <v>44</v>
      </c>
      <c r="G416" s="47">
        <v>0</v>
      </c>
      <c r="H416" s="47">
        <v>0</v>
      </c>
      <c r="I416" s="47" t="s">
        <v>604</v>
      </c>
      <c r="J416" s="47">
        <v>7.925</v>
      </c>
      <c r="L416" s="47" t="s">
        <v>15</v>
      </c>
    </row>
    <row r="417" spans="1:12">
      <c r="A417" s="47">
        <v>416</v>
      </c>
      <c r="B417" s="47">
        <v>0</v>
      </c>
      <c r="C417" s="47">
        <v>3</v>
      </c>
      <c r="D417" s="47" t="s">
        <v>605</v>
      </c>
      <c r="E417" s="47" t="s">
        <v>17</v>
      </c>
      <c r="G417" s="47">
        <v>0</v>
      </c>
      <c r="H417" s="47">
        <v>0</v>
      </c>
      <c r="I417" s="47">
        <v>343095</v>
      </c>
      <c r="J417" s="47">
        <v>8.05</v>
      </c>
      <c r="L417" s="47" t="s">
        <v>15</v>
      </c>
    </row>
    <row r="418" spans="1:12">
      <c r="A418" s="47">
        <v>417</v>
      </c>
      <c r="B418" s="47">
        <v>1</v>
      </c>
      <c r="C418" s="47">
        <v>2</v>
      </c>
      <c r="D418" s="47" t="s">
        <v>606</v>
      </c>
      <c r="E418" s="47" t="s">
        <v>17</v>
      </c>
      <c r="F418" s="47">
        <v>34</v>
      </c>
      <c r="G418" s="47">
        <v>1</v>
      </c>
      <c r="H418" s="47">
        <v>1</v>
      </c>
      <c r="I418" s="47">
        <v>28220</v>
      </c>
      <c r="J418" s="47">
        <v>32.5</v>
      </c>
      <c r="L418" s="47" t="s">
        <v>15</v>
      </c>
    </row>
    <row r="419" spans="1:12">
      <c r="A419" s="47">
        <v>418</v>
      </c>
      <c r="B419" s="47">
        <v>1</v>
      </c>
      <c r="C419" s="47">
        <v>2</v>
      </c>
      <c r="D419" s="47" t="s">
        <v>607</v>
      </c>
      <c r="E419" s="47" t="s">
        <v>17</v>
      </c>
      <c r="F419" s="47">
        <v>18</v>
      </c>
      <c r="G419" s="47">
        <v>0</v>
      </c>
      <c r="H419" s="47">
        <v>2</v>
      </c>
      <c r="I419" s="47">
        <v>250652</v>
      </c>
      <c r="J419" s="47">
        <v>13</v>
      </c>
      <c r="L419" s="47" t="s">
        <v>15</v>
      </c>
    </row>
    <row r="420" spans="1:12">
      <c r="A420" s="47">
        <v>419</v>
      </c>
      <c r="B420" s="47">
        <v>0</v>
      </c>
      <c r="C420" s="47">
        <v>2</v>
      </c>
      <c r="D420" s="47" t="s">
        <v>608</v>
      </c>
      <c r="E420" s="47" t="s">
        <v>13</v>
      </c>
      <c r="F420" s="47">
        <v>30</v>
      </c>
      <c r="G420" s="47">
        <v>0</v>
      </c>
      <c r="H420" s="47">
        <v>0</v>
      </c>
      <c r="I420" s="47">
        <v>28228</v>
      </c>
      <c r="J420" s="47">
        <v>13</v>
      </c>
      <c r="L420" s="47" t="s">
        <v>15</v>
      </c>
    </row>
    <row r="421" spans="1:12">
      <c r="A421" s="47">
        <v>420</v>
      </c>
      <c r="B421" s="47">
        <v>0</v>
      </c>
      <c r="C421" s="47">
        <v>3</v>
      </c>
      <c r="D421" s="47" t="s">
        <v>609</v>
      </c>
      <c r="E421" s="47" t="s">
        <v>17</v>
      </c>
      <c r="F421" s="47">
        <v>10</v>
      </c>
      <c r="G421" s="47">
        <v>0</v>
      </c>
      <c r="H421" s="47">
        <v>2</v>
      </c>
      <c r="I421" s="47">
        <v>345773</v>
      </c>
      <c r="J421" s="47">
        <v>24.15</v>
      </c>
      <c r="L421" s="47" t="s">
        <v>15</v>
      </c>
    </row>
    <row r="422" spans="1:12">
      <c r="A422" s="47">
        <v>421</v>
      </c>
      <c r="B422" s="47">
        <v>0</v>
      </c>
      <c r="C422" s="47">
        <v>3</v>
      </c>
      <c r="D422" s="47" t="s">
        <v>610</v>
      </c>
      <c r="E422" s="47" t="s">
        <v>13</v>
      </c>
      <c r="G422" s="47">
        <v>0</v>
      </c>
      <c r="H422" s="47">
        <v>0</v>
      </c>
      <c r="I422" s="47">
        <v>349254</v>
      </c>
      <c r="J422" s="47">
        <v>7.8958</v>
      </c>
      <c r="L422" s="47" t="s">
        <v>20</v>
      </c>
    </row>
    <row r="423" spans="1:12">
      <c r="A423" s="47">
        <v>422</v>
      </c>
      <c r="B423" s="47">
        <v>0</v>
      </c>
      <c r="C423" s="47">
        <v>3</v>
      </c>
      <c r="D423" s="47" t="s">
        <v>611</v>
      </c>
      <c r="E423" s="47" t="s">
        <v>13</v>
      </c>
      <c r="F423" s="47">
        <v>21</v>
      </c>
      <c r="G423" s="47">
        <v>0</v>
      </c>
      <c r="H423" s="47">
        <v>0</v>
      </c>
      <c r="I423" s="47" t="s">
        <v>612</v>
      </c>
      <c r="J423" s="47">
        <v>7.7333</v>
      </c>
      <c r="L423" s="47" t="s">
        <v>27</v>
      </c>
    </row>
    <row r="424" spans="1:12">
      <c r="A424" s="47">
        <v>423</v>
      </c>
      <c r="B424" s="47">
        <v>0</v>
      </c>
      <c r="C424" s="47">
        <v>3</v>
      </c>
      <c r="D424" s="47" t="s">
        <v>613</v>
      </c>
      <c r="E424" s="47" t="s">
        <v>13</v>
      </c>
      <c r="F424" s="47">
        <v>29</v>
      </c>
      <c r="G424" s="47">
        <v>0</v>
      </c>
      <c r="H424" s="47">
        <v>0</v>
      </c>
      <c r="I424" s="47">
        <v>315082</v>
      </c>
      <c r="J424" s="47">
        <v>7.875</v>
      </c>
      <c r="L424" s="47" t="s">
        <v>15</v>
      </c>
    </row>
    <row r="425" spans="1:12">
      <c r="A425" s="47">
        <v>424</v>
      </c>
      <c r="B425" s="47">
        <v>0</v>
      </c>
      <c r="C425" s="47">
        <v>3</v>
      </c>
      <c r="D425" s="47" t="s">
        <v>614</v>
      </c>
      <c r="E425" s="47" t="s">
        <v>17</v>
      </c>
      <c r="F425" s="47">
        <v>28</v>
      </c>
      <c r="G425" s="47">
        <v>1</v>
      </c>
      <c r="H425" s="47">
        <v>1</v>
      </c>
      <c r="I425" s="47">
        <v>347080</v>
      </c>
      <c r="J425" s="47">
        <v>14.4</v>
      </c>
      <c r="L425" s="47" t="s">
        <v>15</v>
      </c>
    </row>
    <row r="426" spans="1:12">
      <c r="A426" s="47">
        <v>425</v>
      </c>
      <c r="B426" s="47">
        <v>0</v>
      </c>
      <c r="C426" s="47">
        <v>3</v>
      </c>
      <c r="D426" s="47" t="s">
        <v>615</v>
      </c>
      <c r="E426" s="47" t="s">
        <v>13</v>
      </c>
      <c r="F426" s="47">
        <v>18</v>
      </c>
      <c r="G426" s="47">
        <v>1</v>
      </c>
      <c r="H426" s="47">
        <v>1</v>
      </c>
      <c r="I426" s="47">
        <v>370129</v>
      </c>
      <c r="J426" s="47">
        <v>20.2125</v>
      </c>
      <c r="L426" s="47" t="s">
        <v>15</v>
      </c>
    </row>
    <row r="427" spans="1:12">
      <c r="A427" s="47">
        <v>426</v>
      </c>
      <c r="B427" s="47">
        <v>0</v>
      </c>
      <c r="C427" s="47">
        <v>3</v>
      </c>
      <c r="D427" s="47" t="s">
        <v>616</v>
      </c>
      <c r="E427" s="47" t="s">
        <v>13</v>
      </c>
      <c r="G427" s="47">
        <v>0</v>
      </c>
      <c r="H427" s="47">
        <v>0</v>
      </c>
      <c r="I427" s="47" t="s">
        <v>617</v>
      </c>
      <c r="J427" s="47">
        <v>7.25</v>
      </c>
      <c r="L427" s="47" t="s">
        <v>15</v>
      </c>
    </row>
    <row r="428" spans="1:12">
      <c r="A428" s="47">
        <v>427</v>
      </c>
      <c r="B428" s="47">
        <v>1</v>
      </c>
      <c r="C428" s="47">
        <v>2</v>
      </c>
      <c r="D428" s="47" t="s">
        <v>618</v>
      </c>
      <c r="E428" s="47" t="s">
        <v>17</v>
      </c>
      <c r="F428" s="47">
        <v>28</v>
      </c>
      <c r="G428" s="47">
        <v>1</v>
      </c>
      <c r="H428" s="47">
        <v>0</v>
      </c>
      <c r="I428" s="47">
        <v>2003</v>
      </c>
      <c r="J428" s="47">
        <v>26</v>
      </c>
      <c r="L428" s="47" t="s">
        <v>15</v>
      </c>
    </row>
    <row r="429" spans="1:12">
      <c r="A429" s="47">
        <v>428</v>
      </c>
      <c r="B429" s="47">
        <v>1</v>
      </c>
      <c r="C429" s="47">
        <v>2</v>
      </c>
      <c r="D429" s="47" t="s">
        <v>619</v>
      </c>
      <c r="E429" s="47" t="s">
        <v>17</v>
      </c>
      <c r="F429" s="47">
        <v>19</v>
      </c>
      <c r="G429" s="47">
        <v>0</v>
      </c>
      <c r="H429" s="47">
        <v>0</v>
      </c>
      <c r="I429" s="47">
        <v>250655</v>
      </c>
      <c r="J429" s="47">
        <v>26</v>
      </c>
      <c r="L429" s="47" t="s">
        <v>15</v>
      </c>
    </row>
    <row r="430" spans="1:12">
      <c r="A430" s="47">
        <v>429</v>
      </c>
      <c r="B430" s="47">
        <v>0</v>
      </c>
      <c r="C430" s="47">
        <v>3</v>
      </c>
      <c r="D430" s="47" t="s">
        <v>620</v>
      </c>
      <c r="E430" s="47" t="s">
        <v>13</v>
      </c>
      <c r="G430" s="47">
        <v>0</v>
      </c>
      <c r="H430" s="47">
        <v>0</v>
      </c>
      <c r="I430" s="47">
        <v>364851</v>
      </c>
      <c r="J430" s="47">
        <v>7.75</v>
      </c>
      <c r="L430" s="47" t="s">
        <v>27</v>
      </c>
    </row>
    <row r="431" spans="1:12">
      <c r="A431" s="47">
        <v>430</v>
      </c>
      <c r="B431" s="47">
        <v>1</v>
      </c>
      <c r="C431" s="47">
        <v>3</v>
      </c>
      <c r="D431" s="47" t="s">
        <v>621</v>
      </c>
      <c r="E431" s="47" t="s">
        <v>13</v>
      </c>
      <c r="F431" s="47">
        <v>32</v>
      </c>
      <c r="G431" s="47">
        <v>0</v>
      </c>
      <c r="H431" s="47">
        <v>0</v>
      </c>
      <c r="I431" s="47" t="s">
        <v>622</v>
      </c>
      <c r="J431" s="47">
        <v>8.05</v>
      </c>
      <c r="K431" s="47" t="s">
        <v>623</v>
      </c>
      <c r="L431" s="47" t="s">
        <v>15</v>
      </c>
    </row>
    <row r="432" spans="1:12">
      <c r="A432" s="47">
        <v>431</v>
      </c>
      <c r="B432" s="47">
        <v>1</v>
      </c>
      <c r="C432" s="47">
        <v>1</v>
      </c>
      <c r="D432" s="47" t="s">
        <v>624</v>
      </c>
      <c r="E432" s="47" t="s">
        <v>13</v>
      </c>
      <c r="F432" s="47">
        <v>28</v>
      </c>
      <c r="G432" s="47">
        <v>0</v>
      </c>
      <c r="H432" s="47">
        <v>0</v>
      </c>
      <c r="I432" s="47">
        <v>110564</v>
      </c>
      <c r="J432" s="47">
        <v>26.55</v>
      </c>
      <c r="K432" s="47" t="s">
        <v>98</v>
      </c>
      <c r="L432" s="47" t="s">
        <v>15</v>
      </c>
    </row>
    <row r="433" spans="1:12">
      <c r="A433" s="47">
        <v>432</v>
      </c>
      <c r="B433" s="47">
        <v>1</v>
      </c>
      <c r="C433" s="47">
        <v>3</v>
      </c>
      <c r="D433" s="47" t="s">
        <v>625</v>
      </c>
      <c r="E433" s="47" t="s">
        <v>17</v>
      </c>
      <c r="G433" s="47">
        <v>1</v>
      </c>
      <c r="H433" s="47">
        <v>0</v>
      </c>
      <c r="I433" s="47">
        <v>376564</v>
      </c>
      <c r="J433" s="47">
        <v>16.1</v>
      </c>
      <c r="L433" s="47" t="s">
        <v>15</v>
      </c>
    </row>
    <row r="434" spans="1:12">
      <c r="A434" s="47">
        <v>433</v>
      </c>
      <c r="B434" s="47">
        <v>1</v>
      </c>
      <c r="C434" s="47">
        <v>2</v>
      </c>
      <c r="D434" s="47" t="s">
        <v>626</v>
      </c>
      <c r="E434" s="47" t="s">
        <v>17</v>
      </c>
      <c r="F434" s="47">
        <v>42</v>
      </c>
      <c r="G434" s="47">
        <v>1</v>
      </c>
      <c r="H434" s="47">
        <v>0</v>
      </c>
      <c r="I434" s="47" t="s">
        <v>627</v>
      </c>
      <c r="J434" s="47">
        <v>26</v>
      </c>
      <c r="L434" s="47" t="s">
        <v>15</v>
      </c>
    </row>
    <row r="435" spans="1:12">
      <c r="A435" s="47">
        <v>434</v>
      </c>
      <c r="B435" s="47">
        <v>0</v>
      </c>
      <c r="C435" s="47">
        <v>3</v>
      </c>
      <c r="D435" s="47" t="s">
        <v>628</v>
      </c>
      <c r="E435" s="47" t="s">
        <v>13</v>
      </c>
      <c r="F435" s="47">
        <v>17</v>
      </c>
      <c r="G435" s="47">
        <v>0</v>
      </c>
      <c r="H435" s="47">
        <v>0</v>
      </c>
      <c r="I435" s="47" t="s">
        <v>629</v>
      </c>
      <c r="J435" s="47">
        <v>7.125</v>
      </c>
      <c r="L435" s="47" t="s">
        <v>15</v>
      </c>
    </row>
    <row r="436" spans="1:12">
      <c r="A436" s="47">
        <v>435</v>
      </c>
      <c r="B436" s="47">
        <v>0</v>
      </c>
      <c r="C436" s="47">
        <v>1</v>
      </c>
      <c r="D436" s="47" t="s">
        <v>630</v>
      </c>
      <c r="E436" s="47" t="s">
        <v>13</v>
      </c>
      <c r="F436" s="47">
        <v>50</v>
      </c>
      <c r="G436" s="47">
        <v>1</v>
      </c>
      <c r="H436" s="47">
        <v>0</v>
      </c>
      <c r="I436" s="47">
        <v>13507</v>
      </c>
      <c r="J436" s="47">
        <v>55.9</v>
      </c>
      <c r="K436" s="47" t="s">
        <v>631</v>
      </c>
      <c r="L436" s="47" t="s">
        <v>15</v>
      </c>
    </row>
    <row r="437" spans="1:12">
      <c r="A437" s="47">
        <v>436</v>
      </c>
      <c r="B437" s="47">
        <v>1</v>
      </c>
      <c r="C437" s="47">
        <v>1</v>
      </c>
      <c r="D437" s="47" t="s">
        <v>632</v>
      </c>
      <c r="E437" s="47" t="s">
        <v>17</v>
      </c>
      <c r="F437" s="47">
        <v>14</v>
      </c>
      <c r="G437" s="47">
        <v>1</v>
      </c>
      <c r="H437" s="47">
        <v>2</v>
      </c>
      <c r="I437" s="47">
        <v>113760</v>
      </c>
      <c r="J437" s="47">
        <v>120</v>
      </c>
      <c r="K437" s="47" t="s">
        <v>578</v>
      </c>
      <c r="L437" s="47" t="s">
        <v>15</v>
      </c>
    </row>
    <row r="438" spans="1:12">
      <c r="A438" s="47">
        <v>437</v>
      </c>
      <c r="B438" s="47">
        <v>0</v>
      </c>
      <c r="C438" s="47">
        <v>3</v>
      </c>
      <c r="D438" s="47" t="s">
        <v>633</v>
      </c>
      <c r="E438" s="47" t="s">
        <v>17</v>
      </c>
      <c r="F438" s="47">
        <v>21</v>
      </c>
      <c r="G438" s="47">
        <v>2</v>
      </c>
      <c r="H438" s="47">
        <v>2</v>
      </c>
      <c r="I438" s="47" t="s">
        <v>143</v>
      </c>
      <c r="J438" s="47">
        <v>34.375</v>
      </c>
      <c r="L438" s="47" t="s">
        <v>15</v>
      </c>
    </row>
    <row r="439" spans="1:12">
      <c r="A439" s="47">
        <v>438</v>
      </c>
      <c r="B439" s="47">
        <v>1</v>
      </c>
      <c r="C439" s="47">
        <v>2</v>
      </c>
      <c r="D439" s="47" t="s">
        <v>634</v>
      </c>
      <c r="E439" s="47" t="s">
        <v>17</v>
      </c>
      <c r="F439" s="47">
        <v>24</v>
      </c>
      <c r="G439" s="47">
        <v>2</v>
      </c>
      <c r="H439" s="47">
        <v>3</v>
      </c>
      <c r="I439" s="47">
        <v>29106</v>
      </c>
      <c r="J439" s="47">
        <v>18.75</v>
      </c>
      <c r="L439" s="47" t="s">
        <v>15</v>
      </c>
    </row>
    <row r="440" spans="1:12">
      <c r="A440" s="47">
        <v>439</v>
      </c>
      <c r="B440" s="47">
        <v>0</v>
      </c>
      <c r="C440" s="47">
        <v>1</v>
      </c>
      <c r="D440" s="47" t="s">
        <v>635</v>
      </c>
      <c r="E440" s="47" t="s">
        <v>13</v>
      </c>
      <c r="F440" s="47">
        <v>64</v>
      </c>
      <c r="G440" s="47">
        <v>1</v>
      </c>
      <c r="H440" s="47">
        <v>4</v>
      </c>
      <c r="I440" s="47">
        <v>19950</v>
      </c>
      <c r="J440" s="47">
        <v>263</v>
      </c>
      <c r="K440" s="47" t="s">
        <v>57</v>
      </c>
      <c r="L440" s="47" t="s">
        <v>15</v>
      </c>
    </row>
    <row r="441" spans="1:12">
      <c r="A441" s="47">
        <v>440</v>
      </c>
      <c r="B441" s="47">
        <v>0</v>
      </c>
      <c r="C441" s="47">
        <v>2</v>
      </c>
      <c r="D441" s="47" t="s">
        <v>636</v>
      </c>
      <c r="E441" s="47" t="s">
        <v>13</v>
      </c>
      <c r="F441" s="47">
        <v>31</v>
      </c>
      <c r="G441" s="47">
        <v>0</v>
      </c>
      <c r="H441" s="47">
        <v>0</v>
      </c>
      <c r="I441" s="47" t="s">
        <v>637</v>
      </c>
      <c r="J441" s="47">
        <v>10.5</v>
      </c>
      <c r="L441" s="47" t="s">
        <v>15</v>
      </c>
    </row>
    <row r="442" spans="1:12">
      <c r="A442" s="47">
        <v>441</v>
      </c>
      <c r="B442" s="47">
        <v>1</v>
      </c>
      <c r="C442" s="47">
        <v>2</v>
      </c>
      <c r="D442" s="47" t="s">
        <v>638</v>
      </c>
      <c r="E442" s="47" t="s">
        <v>17</v>
      </c>
      <c r="F442" s="47">
        <v>45</v>
      </c>
      <c r="G442" s="47">
        <v>1</v>
      </c>
      <c r="H442" s="47">
        <v>1</v>
      </c>
      <c r="I442" s="47" t="s">
        <v>477</v>
      </c>
      <c r="J442" s="47">
        <v>26.25</v>
      </c>
      <c r="L442" s="47" t="s">
        <v>15</v>
      </c>
    </row>
    <row r="443" spans="1:12">
      <c r="A443" s="47">
        <v>442</v>
      </c>
      <c r="B443" s="47">
        <v>0</v>
      </c>
      <c r="C443" s="47">
        <v>3</v>
      </c>
      <c r="D443" s="47" t="s">
        <v>639</v>
      </c>
      <c r="E443" s="47" t="s">
        <v>13</v>
      </c>
      <c r="F443" s="47">
        <v>20</v>
      </c>
      <c r="G443" s="47">
        <v>0</v>
      </c>
      <c r="H443" s="47">
        <v>0</v>
      </c>
      <c r="I443" s="47">
        <v>345769</v>
      </c>
      <c r="J443" s="47">
        <v>9.5</v>
      </c>
      <c r="L443" s="47" t="s">
        <v>15</v>
      </c>
    </row>
    <row r="444" spans="1:12">
      <c r="A444" s="47">
        <v>443</v>
      </c>
      <c r="B444" s="47">
        <v>0</v>
      </c>
      <c r="C444" s="47">
        <v>3</v>
      </c>
      <c r="D444" s="47" t="s">
        <v>640</v>
      </c>
      <c r="E444" s="47" t="s">
        <v>13</v>
      </c>
      <c r="F444" s="47">
        <v>25</v>
      </c>
      <c r="G444" s="47">
        <v>1</v>
      </c>
      <c r="H444" s="47">
        <v>0</v>
      </c>
      <c r="I444" s="47">
        <v>347076</v>
      </c>
      <c r="J444" s="47">
        <v>7.775</v>
      </c>
      <c r="L444" s="47" t="s">
        <v>15</v>
      </c>
    </row>
    <row r="445" spans="1:12">
      <c r="A445" s="47">
        <v>444</v>
      </c>
      <c r="B445" s="47">
        <v>1</v>
      </c>
      <c r="C445" s="47">
        <v>2</v>
      </c>
      <c r="D445" s="47" t="s">
        <v>641</v>
      </c>
      <c r="E445" s="47" t="s">
        <v>17</v>
      </c>
      <c r="F445" s="47">
        <v>28</v>
      </c>
      <c r="G445" s="47">
        <v>0</v>
      </c>
      <c r="H445" s="47">
        <v>0</v>
      </c>
      <c r="I445" s="47">
        <v>230434</v>
      </c>
      <c r="J445" s="47">
        <v>13</v>
      </c>
      <c r="L445" s="47" t="s">
        <v>15</v>
      </c>
    </row>
    <row r="446" spans="1:12">
      <c r="A446" s="47">
        <v>445</v>
      </c>
      <c r="B446" s="47">
        <v>1</v>
      </c>
      <c r="C446" s="47">
        <v>3</v>
      </c>
      <c r="D446" s="47" t="s">
        <v>642</v>
      </c>
      <c r="E446" s="47" t="s">
        <v>13</v>
      </c>
      <c r="G446" s="47">
        <v>0</v>
      </c>
      <c r="H446" s="47">
        <v>0</v>
      </c>
      <c r="I446" s="47">
        <v>65306</v>
      </c>
      <c r="J446" s="47">
        <v>8.1125</v>
      </c>
      <c r="L446" s="47" t="s">
        <v>15</v>
      </c>
    </row>
    <row r="447" spans="1:12">
      <c r="A447" s="47">
        <v>446</v>
      </c>
      <c r="B447" s="47">
        <v>1</v>
      </c>
      <c r="C447" s="47">
        <v>1</v>
      </c>
      <c r="D447" s="47" t="s">
        <v>643</v>
      </c>
      <c r="E447" s="47" t="s">
        <v>13</v>
      </c>
      <c r="F447" s="47">
        <v>4</v>
      </c>
      <c r="G447" s="47">
        <v>0</v>
      </c>
      <c r="H447" s="47">
        <v>2</v>
      </c>
      <c r="I447" s="47">
        <v>33638</v>
      </c>
      <c r="J447" s="47">
        <v>81.8583</v>
      </c>
      <c r="K447" s="47" t="s">
        <v>644</v>
      </c>
      <c r="L447" s="47" t="s">
        <v>15</v>
      </c>
    </row>
    <row r="448" spans="1:12">
      <c r="A448" s="47">
        <v>447</v>
      </c>
      <c r="B448" s="47">
        <v>1</v>
      </c>
      <c r="C448" s="47">
        <v>2</v>
      </c>
      <c r="D448" s="47" t="s">
        <v>645</v>
      </c>
      <c r="E448" s="47" t="s">
        <v>17</v>
      </c>
      <c r="F448" s="47">
        <v>13</v>
      </c>
      <c r="G448" s="47">
        <v>0</v>
      </c>
      <c r="H448" s="47">
        <v>1</v>
      </c>
      <c r="I448" s="47">
        <v>250644</v>
      </c>
      <c r="J448" s="47">
        <v>19.5</v>
      </c>
      <c r="L448" s="47" t="s">
        <v>15</v>
      </c>
    </row>
    <row r="449" spans="1:12">
      <c r="A449" s="47">
        <v>448</v>
      </c>
      <c r="B449" s="47">
        <v>1</v>
      </c>
      <c r="C449" s="47">
        <v>1</v>
      </c>
      <c r="D449" s="47" t="s">
        <v>646</v>
      </c>
      <c r="E449" s="47" t="s">
        <v>13</v>
      </c>
      <c r="F449" s="47">
        <v>34</v>
      </c>
      <c r="G449" s="47">
        <v>0</v>
      </c>
      <c r="H449" s="47">
        <v>0</v>
      </c>
      <c r="I449" s="47">
        <v>113794</v>
      </c>
      <c r="J449" s="47">
        <v>26.55</v>
      </c>
      <c r="L449" s="47" t="s">
        <v>15</v>
      </c>
    </row>
    <row r="450" spans="1:12">
      <c r="A450" s="47">
        <v>449</v>
      </c>
      <c r="B450" s="47">
        <v>1</v>
      </c>
      <c r="C450" s="47">
        <v>3</v>
      </c>
      <c r="D450" s="47" t="s">
        <v>647</v>
      </c>
      <c r="E450" s="47" t="s">
        <v>17</v>
      </c>
      <c r="F450" s="47">
        <v>5</v>
      </c>
      <c r="G450" s="47">
        <v>2</v>
      </c>
      <c r="H450" s="47">
        <v>1</v>
      </c>
      <c r="I450" s="47">
        <v>2666</v>
      </c>
      <c r="J450" s="47">
        <v>19.2583</v>
      </c>
      <c r="L450" s="47" t="s">
        <v>20</v>
      </c>
    </row>
    <row r="451" spans="1:12">
      <c r="A451" s="47">
        <v>450</v>
      </c>
      <c r="B451" s="47">
        <v>1</v>
      </c>
      <c r="C451" s="47">
        <v>1</v>
      </c>
      <c r="D451" s="47" t="s">
        <v>648</v>
      </c>
      <c r="E451" s="47" t="s">
        <v>13</v>
      </c>
      <c r="F451" s="47">
        <v>52</v>
      </c>
      <c r="G451" s="47">
        <v>0</v>
      </c>
      <c r="H451" s="47">
        <v>0</v>
      </c>
      <c r="I451" s="47">
        <v>113786</v>
      </c>
      <c r="J451" s="47">
        <v>30.5</v>
      </c>
      <c r="K451" s="47" t="s">
        <v>649</v>
      </c>
      <c r="L451" s="47" t="s">
        <v>15</v>
      </c>
    </row>
    <row r="452" spans="1:12">
      <c r="A452" s="47">
        <v>451</v>
      </c>
      <c r="B452" s="47">
        <v>0</v>
      </c>
      <c r="C452" s="47">
        <v>2</v>
      </c>
      <c r="D452" s="47" t="s">
        <v>650</v>
      </c>
      <c r="E452" s="47" t="s">
        <v>13</v>
      </c>
      <c r="F452" s="47">
        <v>36</v>
      </c>
      <c r="G452" s="47">
        <v>1</v>
      </c>
      <c r="H452" s="47">
        <v>2</v>
      </c>
      <c r="I452" s="47" t="s">
        <v>103</v>
      </c>
      <c r="J452" s="47">
        <v>27.75</v>
      </c>
      <c r="L452" s="47" t="s">
        <v>15</v>
      </c>
    </row>
    <row r="453" spans="1:12">
      <c r="A453" s="47">
        <v>452</v>
      </c>
      <c r="B453" s="47">
        <v>0</v>
      </c>
      <c r="C453" s="47">
        <v>3</v>
      </c>
      <c r="D453" s="47" t="s">
        <v>651</v>
      </c>
      <c r="E453" s="47" t="s">
        <v>13</v>
      </c>
      <c r="G453" s="47">
        <v>1</v>
      </c>
      <c r="H453" s="47">
        <v>0</v>
      </c>
      <c r="I453" s="47">
        <v>65303</v>
      </c>
      <c r="J453" s="47">
        <v>19.9667</v>
      </c>
      <c r="L453" s="47" t="s">
        <v>15</v>
      </c>
    </row>
    <row r="454" spans="1:12">
      <c r="A454" s="47">
        <v>453</v>
      </c>
      <c r="B454" s="47">
        <v>0</v>
      </c>
      <c r="C454" s="47">
        <v>1</v>
      </c>
      <c r="D454" s="47" t="s">
        <v>652</v>
      </c>
      <c r="E454" s="47" t="s">
        <v>13</v>
      </c>
      <c r="F454" s="47">
        <v>30</v>
      </c>
      <c r="G454" s="47">
        <v>0</v>
      </c>
      <c r="H454" s="47">
        <v>0</v>
      </c>
      <c r="I454" s="47">
        <v>113051</v>
      </c>
      <c r="J454" s="47">
        <v>27.75</v>
      </c>
      <c r="K454" s="47" t="s">
        <v>653</v>
      </c>
      <c r="L454" s="47" t="s">
        <v>20</v>
      </c>
    </row>
    <row r="455" spans="1:12">
      <c r="A455" s="47">
        <v>454</v>
      </c>
      <c r="B455" s="47">
        <v>1</v>
      </c>
      <c r="C455" s="47">
        <v>1</v>
      </c>
      <c r="D455" s="47" t="s">
        <v>654</v>
      </c>
      <c r="E455" s="47" t="s">
        <v>13</v>
      </c>
      <c r="F455" s="47">
        <v>49</v>
      </c>
      <c r="G455" s="47">
        <v>1</v>
      </c>
      <c r="H455" s="47">
        <v>0</v>
      </c>
      <c r="I455" s="47">
        <v>17453</v>
      </c>
      <c r="J455" s="47">
        <v>89.1042</v>
      </c>
      <c r="K455" s="47" t="s">
        <v>655</v>
      </c>
      <c r="L455" s="47" t="s">
        <v>20</v>
      </c>
    </row>
    <row r="456" spans="1:12">
      <c r="A456" s="47">
        <v>455</v>
      </c>
      <c r="B456" s="47">
        <v>0</v>
      </c>
      <c r="C456" s="47">
        <v>3</v>
      </c>
      <c r="D456" s="47" t="s">
        <v>656</v>
      </c>
      <c r="E456" s="47" t="s">
        <v>13</v>
      </c>
      <c r="G456" s="47">
        <v>0</v>
      </c>
      <c r="H456" s="47">
        <v>0</v>
      </c>
      <c r="I456" s="47" t="s">
        <v>657</v>
      </c>
      <c r="J456" s="47">
        <v>8.05</v>
      </c>
      <c r="L456" s="47" t="s">
        <v>15</v>
      </c>
    </row>
    <row r="457" spans="1:12">
      <c r="A457" s="47">
        <v>456</v>
      </c>
      <c r="B457" s="47">
        <v>1</v>
      </c>
      <c r="C457" s="47">
        <v>3</v>
      </c>
      <c r="D457" s="47" t="s">
        <v>658</v>
      </c>
      <c r="E457" s="47" t="s">
        <v>13</v>
      </c>
      <c r="F457" s="47">
        <v>29</v>
      </c>
      <c r="G457" s="47">
        <v>0</v>
      </c>
      <c r="H457" s="47">
        <v>0</v>
      </c>
      <c r="I457" s="47">
        <v>349240</v>
      </c>
      <c r="J457" s="47">
        <v>7.8958</v>
      </c>
      <c r="L457" s="47" t="s">
        <v>20</v>
      </c>
    </row>
    <row r="458" spans="1:12">
      <c r="A458" s="47">
        <v>457</v>
      </c>
      <c r="B458" s="47">
        <v>0</v>
      </c>
      <c r="C458" s="47">
        <v>1</v>
      </c>
      <c r="D458" s="47" t="s">
        <v>659</v>
      </c>
      <c r="E458" s="47" t="s">
        <v>13</v>
      </c>
      <c r="F458" s="47">
        <v>65</v>
      </c>
      <c r="G458" s="47">
        <v>0</v>
      </c>
      <c r="H458" s="47">
        <v>0</v>
      </c>
      <c r="I458" s="47">
        <v>13509</v>
      </c>
      <c r="J458" s="47">
        <v>26.55</v>
      </c>
      <c r="K458" s="47" t="s">
        <v>660</v>
      </c>
      <c r="L458" s="47" t="s">
        <v>15</v>
      </c>
    </row>
    <row r="459" spans="1:12">
      <c r="A459" s="47">
        <v>458</v>
      </c>
      <c r="B459" s="47">
        <v>1</v>
      </c>
      <c r="C459" s="47">
        <v>1</v>
      </c>
      <c r="D459" s="47" t="s">
        <v>661</v>
      </c>
      <c r="E459" s="47" t="s">
        <v>17</v>
      </c>
      <c r="G459" s="47">
        <v>1</v>
      </c>
      <c r="H459" s="47">
        <v>0</v>
      </c>
      <c r="I459" s="47">
        <v>17464</v>
      </c>
      <c r="J459" s="47">
        <v>51.8625</v>
      </c>
      <c r="K459" s="47" t="s">
        <v>662</v>
      </c>
      <c r="L459" s="47" t="s">
        <v>15</v>
      </c>
    </row>
    <row r="460" spans="1:12">
      <c r="A460" s="47">
        <v>459</v>
      </c>
      <c r="B460" s="47">
        <v>1</v>
      </c>
      <c r="C460" s="47">
        <v>2</v>
      </c>
      <c r="D460" s="47" t="s">
        <v>663</v>
      </c>
      <c r="E460" s="47" t="s">
        <v>17</v>
      </c>
      <c r="F460" s="47">
        <v>50</v>
      </c>
      <c r="G460" s="47">
        <v>0</v>
      </c>
      <c r="H460" s="47">
        <v>0</v>
      </c>
      <c r="I460" s="47" t="s">
        <v>664</v>
      </c>
      <c r="J460" s="47">
        <v>10.5</v>
      </c>
      <c r="L460" s="47" t="s">
        <v>15</v>
      </c>
    </row>
    <row r="461" spans="1:12">
      <c r="A461" s="47">
        <v>460</v>
      </c>
      <c r="B461" s="47">
        <v>0</v>
      </c>
      <c r="C461" s="47">
        <v>3</v>
      </c>
      <c r="D461" s="47" t="s">
        <v>665</v>
      </c>
      <c r="E461" s="47" t="s">
        <v>13</v>
      </c>
      <c r="G461" s="47">
        <v>0</v>
      </c>
      <c r="H461" s="47">
        <v>0</v>
      </c>
      <c r="I461" s="47">
        <v>371060</v>
      </c>
      <c r="J461" s="47">
        <v>7.75</v>
      </c>
      <c r="L461" s="47" t="s">
        <v>27</v>
      </c>
    </row>
    <row r="462" spans="1:12">
      <c r="A462" s="47">
        <v>461</v>
      </c>
      <c r="B462" s="47">
        <v>1</v>
      </c>
      <c r="C462" s="47">
        <v>1</v>
      </c>
      <c r="D462" s="47" t="s">
        <v>666</v>
      </c>
      <c r="E462" s="47" t="s">
        <v>13</v>
      </c>
      <c r="F462" s="47">
        <v>48</v>
      </c>
      <c r="G462" s="47">
        <v>0</v>
      </c>
      <c r="H462" s="47">
        <v>0</v>
      </c>
      <c r="I462" s="47">
        <v>19952</v>
      </c>
      <c r="J462" s="47">
        <v>26.55</v>
      </c>
      <c r="K462" s="47" t="s">
        <v>667</v>
      </c>
      <c r="L462" s="47" t="s">
        <v>15</v>
      </c>
    </row>
    <row r="463" spans="1:12">
      <c r="A463" s="47">
        <v>462</v>
      </c>
      <c r="B463" s="47">
        <v>0</v>
      </c>
      <c r="C463" s="47">
        <v>3</v>
      </c>
      <c r="D463" s="47" t="s">
        <v>668</v>
      </c>
      <c r="E463" s="47" t="s">
        <v>13</v>
      </c>
      <c r="F463" s="47">
        <v>34</v>
      </c>
      <c r="G463" s="47">
        <v>0</v>
      </c>
      <c r="H463" s="47">
        <v>0</v>
      </c>
      <c r="I463" s="47">
        <v>364506</v>
      </c>
      <c r="J463" s="47">
        <v>8.05</v>
      </c>
      <c r="L463" s="47" t="s">
        <v>15</v>
      </c>
    </row>
    <row r="464" spans="1:12">
      <c r="A464" s="47">
        <v>463</v>
      </c>
      <c r="B464" s="47">
        <v>0</v>
      </c>
      <c r="C464" s="47">
        <v>1</v>
      </c>
      <c r="D464" s="47" t="s">
        <v>669</v>
      </c>
      <c r="E464" s="47" t="s">
        <v>13</v>
      </c>
      <c r="F464" s="47">
        <v>47</v>
      </c>
      <c r="G464" s="47">
        <v>0</v>
      </c>
      <c r="H464" s="47">
        <v>0</v>
      </c>
      <c r="I464" s="47">
        <v>111320</v>
      </c>
      <c r="J464" s="47">
        <v>38.5</v>
      </c>
      <c r="K464" s="47" t="s">
        <v>670</v>
      </c>
      <c r="L464" s="47" t="s">
        <v>15</v>
      </c>
    </row>
    <row r="465" spans="1:12">
      <c r="A465" s="47">
        <v>464</v>
      </c>
      <c r="B465" s="47">
        <v>0</v>
      </c>
      <c r="C465" s="47">
        <v>2</v>
      </c>
      <c r="D465" s="47" t="s">
        <v>671</v>
      </c>
      <c r="E465" s="47" t="s">
        <v>13</v>
      </c>
      <c r="F465" s="47">
        <v>48</v>
      </c>
      <c r="G465" s="47">
        <v>0</v>
      </c>
      <c r="H465" s="47">
        <v>0</v>
      </c>
      <c r="I465" s="47">
        <v>234360</v>
      </c>
      <c r="J465" s="47">
        <v>13</v>
      </c>
      <c r="L465" s="47" t="s">
        <v>15</v>
      </c>
    </row>
    <row r="466" spans="1:12">
      <c r="A466" s="47">
        <v>465</v>
      </c>
      <c r="B466" s="47">
        <v>0</v>
      </c>
      <c r="C466" s="47">
        <v>3</v>
      </c>
      <c r="D466" s="47" t="s">
        <v>672</v>
      </c>
      <c r="E466" s="47" t="s">
        <v>13</v>
      </c>
      <c r="G466" s="47">
        <v>0</v>
      </c>
      <c r="H466" s="47">
        <v>0</v>
      </c>
      <c r="I466" s="47" t="s">
        <v>673</v>
      </c>
      <c r="J466" s="47">
        <v>8.05</v>
      </c>
      <c r="L466" s="47" t="s">
        <v>15</v>
      </c>
    </row>
    <row r="467" spans="1:12">
      <c r="A467" s="47">
        <v>466</v>
      </c>
      <c r="B467" s="47">
        <v>0</v>
      </c>
      <c r="C467" s="47">
        <v>3</v>
      </c>
      <c r="D467" s="47" t="s">
        <v>674</v>
      </c>
      <c r="E467" s="47" t="s">
        <v>13</v>
      </c>
      <c r="F467" s="47">
        <v>38</v>
      </c>
      <c r="G467" s="47">
        <v>0</v>
      </c>
      <c r="H467" s="47">
        <v>0</v>
      </c>
      <c r="I467" s="47" t="s">
        <v>675</v>
      </c>
      <c r="J467" s="47">
        <v>7.05</v>
      </c>
      <c r="L467" s="47" t="s">
        <v>15</v>
      </c>
    </row>
    <row r="468" spans="1:12">
      <c r="A468" s="47">
        <v>467</v>
      </c>
      <c r="B468" s="47">
        <v>0</v>
      </c>
      <c r="C468" s="47">
        <v>2</v>
      </c>
      <c r="D468" s="47" t="s">
        <v>676</v>
      </c>
      <c r="E468" s="47" t="s">
        <v>13</v>
      </c>
      <c r="G468" s="47">
        <v>0</v>
      </c>
      <c r="H468" s="47">
        <v>0</v>
      </c>
      <c r="I468" s="47">
        <v>239853</v>
      </c>
      <c r="J468" s="47">
        <v>0</v>
      </c>
      <c r="L468" s="47" t="s">
        <v>15</v>
      </c>
    </row>
    <row r="469" spans="1:12">
      <c r="A469" s="47">
        <v>468</v>
      </c>
      <c r="B469" s="47">
        <v>0</v>
      </c>
      <c r="C469" s="47">
        <v>1</v>
      </c>
      <c r="D469" s="47" t="s">
        <v>677</v>
      </c>
      <c r="E469" s="47" t="s">
        <v>13</v>
      </c>
      <c r="F469" s="47">
        <v>56</v>
      </c>
      <c r="G469" s="47">
        <v>0</v>
      </c>
      <c r="H469" s="47">
        <v>0</v>
      </c>
      <c r="I469" s="47">
        <v>113792</v>
      </c>
      <c r="J469" s="47">
        <v>26.55</v>
      </c>
      <c r="L469" s="47" t="s">
        <v>15</v>
      </c>
    </row>
    <row r="470" spans="1:12">
      <c r="A470" s="47">
        <v>469</v>
      </c>
      <c r="B470" s="47">
        <v>0</v>
      </c>
      <c r="C470" s="47">
        <v>3</v>
      </c>
      <c r="D470" s="47" t="s">
        <v>678</v>
      </c>
      <c r="E470" s="47" t="s">
        <v>13</v>
      </c>
      <c r="G470" s="47">
        <v>0</v>
      </c>
      <c r="H470" s="47">
        <v>0</v>
      </c>
      <c r="I470" s="47">
        <v>36209</v>
      </c>
      <c r="J470" s="47">
        <v>7.725</v>
      </c>
      <c r="L470" s="47" t="s">
        <v>27</v>
      </c>
    </row>
    <row r="471" spans="1:12">
      <c r="A471" s="47">
        <v>470</v>
      </c>
      <c r="B471" s="47">
        <v>1</v>
      </c>
      <c r="C471" s="47">
        <v>3</v>
      </c>
      <c r="D471" s="47" t="s">
        <v>679</v>
      </c>
      <c r="E471" s="47" t="s">
        <v>17</v>
      </c>
      <c r="F471" s="47">
        <v>0.75</v>
      </c>
      <c r="G471" s="47">
        <v>2</v>
      </c>
      <c r="H471" s="47">
        <v>1</v>
      </c>
      <c r="I471" s="47">
        <v>2666</v>
      </c>
      <c r="J471" s="47">
        <v>19.2583</v>
      </c>
      <c r="L471" s="47" t="s">
        <v>20</v>
      </c>
    </row>
    <row r="472" spans="1:12">
      <c r="A472" s="47">
        <v>471</v>
      </c>
      <c r="B472" s="47">
        <v>0</v>
      </c>
      <c r="C472" s="47">
        <v>3</v>
      </c>
      <c r="D472" s="47" t="s">
        <v>680</v>
      </c>
      <c r="E472" s="47" t="s">
        <v>13</v>
      </c>
      <c r="G472" s="47">
        <v>0</v>
      </c>
      <c r="H472" s="47">
        <v>0</v>
      </c>
      <c r="I472" s="47">
        <v>323592</v>
      </c>
      <c r="J472" s="47">
        <v>7.25</v>
      </c>
      <c r="L472" s="47" t="s">
        <v>15</v>
      </c>
    </row>
    <row r="473" spans="1:12">
      <c r="A473" s="47">
        <v>472</v>
      </c>
      <c r="B473" s="47">
        <v>0</v>
      </c>
      <c r="C473" s="47">
        <v>3</v>
      </c>
      <c r="D473" s="47" t="s">
        <v>681</v>
      </c>
      <c r="E473" s="47" t="s">
        <v>13</v>
      </c>
      <c r="F473" s="47">
        <v>38</v>
      </c>
      <c r="G473" s="47">
        <v>0</v>
      </c>
      <c r="H473" s="47">
        <v>0</v>
      </c>
      <c r="I473" s="47">
        <v>315089</v>
      </c>
      <c r="J473" s="47">
        <v>8.6625</v>
      </c>
      <c r="L473" s="47" t="s">
        <v>15</v>
      </c>
    </row>
    <row r="474" spans="1:12">
      <c r="A474" s="47">
        <v>473</v>
      </c>
      <c r="B474" s="47">
        <v>1</v>
      </c>
      <c r="C474" s="47">
        <v>2</v>
      </c>
      <c r="D474" s="47" t="s">
        <v>682</v>
      </c>
      <c r="E474" s="47" t="s">
        <v>17</v>
      </c>
      <c r="F474" s="47">
        <v>33</v>
      </c>
      <c r="G474" s="47">
        <v>1</v>
      </c>
      <c r="H474" s="47">
        <v>2</v>
      </c>
      <c r="I474" s="47" t="s">
        <v>103</v>
      </c>
      <c r="J474" s="47">
        <v>27.75</v>
      </c>
      <c r="L474" s="47" t="s">
        <v>15</v>
      </c>
    </row>
    <row r="475" spans="1:12">
      <c r="A475" s="47">
        <v>474</v>
      </c>
      <c r="B475" s="47">
        <v>1</v>
      </c>
      <c r="C475" s="47">
        <v>2</v>
      </c>
      <c r="D475" s="47" t="s">
        <v>683</v>
      </c>
      <c r="E475" s="47" t="s">
        <v>17</v>
      </c>
      <c r="F475" s="47">
        <v>23</v>
      </c>
      <c r="G475" s="47">
        <v>0</v>
      </c>
      <c r="H475" s="47">
        <v>0</v>
      </c>
      <c r="I475" s="47" t="s">
        <v>684</v>
      </c>
      <c r="J475" s="47">
        <v>13.7917</v>
      </c>
      <c r="K475" s="47" t="s">
        <v>442</v>
      </c>
      <c r="L475" s="47" t="s">
        <v>20</v>
      </c>
    </row>
    <row r="476" spans="1:12">
      <c r="A476" s="47">
        <v>475</v>
      </c>
      <c r="B476" s="47">
        <v>0</v>
      </c>
      <c r="C476" s="47">
        <v>3</v>
      </c>
      <c r="D476" s="47" t="s">
        <v>685</v>
      </c>
      <c r="E476" s="47" t="s">
        <v>17</v>
      </c>
      <c r="F476" s="47">
        <v>22</v>
      </c>
      <c r="G476" s="47">
        <v>0</v>
      </c>
      <c r="H476" s="47">
        <v>0</v>
      </c>
      <c r="I476" s="47">
        <v>7553</v>
      </c>
      <c r="J476" s="47">
        <v>9.8375</v>
      </c>
      <c r="L476" s="47" t="s">
        <v>15</v>
      </c>
    </row>
    <row r="477" spans="1:12">
      <c r="A477" s="47">
        <v>476</v>
      </c>
      <c r="B477" s="47">
        <v>0</v>
      </c>
      <c r="C477" s="47">
        <v>1</v>
      </c>
      <c r="D477" s="47" t="s">
        <v>686</v>
      </c>
      <c r="E477" s="47" t="s">
        <v>13</v>
      </c>
      <c r="G477" s="47">
        <v>0</v>
      </c>
      <c r="H477" s="47">
        <v>0</v>
      </c>
      <c r="I477" s="47">
        <v>110465</v>
      </c>
      <c r="J477" s="47">
        <v>52</v>
      </c>
      <c r="K477" s="47" t="s">
        <v>687</v>
      </c>
      <c r="L477" s="47" t="s">
        <v>15</v>
      </c>
    </row>
    <row r="478" spans="1:12">
      <c r="A478" s="47">
        <v>477</v>
      </c>
      <c r="B478" s="47">
        <v>0</v>
      </c>
      <c r="C478" s="47">
        <v>2</v>
      </c>
      <c r="D478" s="47" t="s">
        <v>688</v>
      </c>
      <c r="E478" s="47" t="s">
        <v>13</v>
      </c>
      <c r="F478" s="47">
        <v>34</v>
      </c>
      <c r="G478" s="47">
        <v>1</v>
      </c>
      <c r="H478" s="47">
        <v>0</v>
      </c>
      <c r="I478" s="47">
        <v>31027</v>
      </c>
      <c r="J478" s="47">
        <v>21</v>
      </c>
      <c r="L478" s="47" t="s">
        <v>15</v>
      </c>
    </row>
    <row r="479" spans="1:12">
      <c r="A479" s="47">
        <v>478</v>
      </c>
      <c r="B479" s="47">
        <v>0</v>
      </c>
      <c r="C479" s="47">
        <v>3</v>
      </c>
      <c r="D479" s="47" t="s">
        <v>689</v>
      </c>
      <c r="E479" s="47" t="s">
        <v>13</v>
      </c>
      <c r="F479" s="47">
        <v>29</v>
      </c>
      <c r="G479" s="47">
        <v>1</v>
      </c>
      <c r="H479" s="47">
        <v>0</v>
      </c>
      <c r="I479" s="47">
        <v>3460</v>
      </c>
      <c r="J479" s="47">
        <v>7.0458</v>
      </c>
      <c r="L479" s="47" t="s">
        <v>15</v>
      </c>
    </row>
    <row r="480" spans="1:12">
      <c r="A480" s="47">
        <v>479</v>
      </c>
      <c r="B480" s="47">
        <v>0</v>
      </c>
      <c r="C480" s="47">
        <v>3</v>
      </c>
      <c r="D480" s="47" t="s">
        <v>690</v>
      </c>
      <c r="E480" s="47" t="s">
        <v>13</v>
      </c>
      <c r="F480" s="47">
        <v>22</v>
      </c>
      <c r="G480" s="47">
        <v>0</v>
      </c>
      <c r="H480" s="47">
        <v>0</v>
      </c>
      <c r="I480" s="47">
        <v>350060</v>
      </c>
      <c r="J480" s="47">
        <v>7.5208</v>
      </c>
      <c r="L480" s="47" t="s">
        <v>15</v>
      </c>
    </row>
    <row r="481" spans="1:12">
      <c r="A481" s="47">
        <v>480</v>
      </c>
      <c r="B481" s="47">
        <v>1</v>
      </c>
      <c r="C481" s="47">
        <v>3</v>
      </c>
      <c r="D481" s="47" t="s">
        <v>691</v>
      </c>
      <c r="E481" s="47" t="s">
        <v>17</v>
      </c>
      <c r="F481" s="47">
        <v>2</v>
      </c>
      <c r="G481" s="47">
        <v>0</v>
      </c>
      <c r="H481" s="47">
        <v>1</v>
      </c>
      <c r="I481" s="47">
        <v>3101298</v>
      </c>
      <c r="J481" s="47">
        <v>12.2875</v>
      </c>
      <c r="L481" s="47" t="s">
        <v>15</v>
      </c>
    </row>
    <row r="482" spans="1:12">
      <c r="A482" s="47">
        <v>481</v>
      </c>
      <c r="B482" s="47">
        <v>0</v>
      </c>
      <c r="C482" s="47">
        <v>3</v>
      </c>
      <c r="D482" s="47" t="s">
        <v>692</v>
      </c>
      <c r="E482" s="47" t="s">
        <v>13</v>
      </c>
      <c r="F482" s="47">
        <v>9</v>
      </c>
      <c r="G482" s="47">
        <v>5</v>
      </c>
      <c r="H482" s="47">
        <v>2</v>
      </c>
      <c r="I482" s="47" t="s">
        <v>105</v>
      </c>
      <c r="J482" s="47">
        <v>46.9</v>
      </c>
      <c r="L482" s="47" t="s">
        <v>15</v>
      </c>
    </row>
    <row r="483" spans="1:12">
      <c r="A483" s="47">
        <v>482</v>
      </c>
      <c r="B483" s="47">
        <v>0</v>
      </c>
      <c r="C483" s="47">
        <v>2</v>
      </c>
      <c r="D483" s="47" t="s">
        <v>693</v>
      </c>
      <c r="E483" s="47" t="s">
        <v>13</v>
      </c>
      <c r="G483" s="47">
        <v>0</v>
      </c>
      <c r="H483" s="47">
        <v>0</v>
      </c>
      <c r="I483" s="47">
        <v>239854</v>
      </c>
      <c r="J483" s="47">
        <v>0</v>
      </c>
      <c r="L483" s="47" t="s">
        <v>15</v>
      </c>
    </row>
    <row r="484" spans="1:12">
      <c r="A484" s="47">
        <v>483</v>
      </c>
      <c r="B484" s="47">
        <v>0</v>
      </c>
      <c r="C484" s="47">
        <v>3</v>
      </c>
      <c r="D484" s="47" t="s">
        <v>694</v>
      </c>
      <c r="E484" s="47" t="s">
        <v>13</v>
      </c>
      <c r="F484" s="47">
        <v>50</v>
      </c>
      <c r="G484" s="47">
        <v>0</v>
      </c>
      <c r="H484" s="47">
        <v>0</v>
      </c>
      <c r="I484" s="47" t="s">
        <v>695</v>
      </c>
      <c r="J484" s="47">
        <v>8.05</v>
      </c>
      <c r="L484" s="47" t="s">
        <v>15</v>
      </c>
    </row>
    <row r="485" spans="1:12">
      <c r="A485" s="47">
        <v>484</v>
      </c>
      <c r="B485" s="47">
        <v>1</v>
      </c>
      <c r="C485" s="47">
        <v>3</v>
      </c>
      <c r="D485" s="47" t="s">
        <v>696</v>
      </c>
      <c r="E485" s="47" t="s">
        <v>17</v>
      </c>
      <c r="F485" s="47">
        <v>63</v>
      </c>
      <c r="G485" s="47">
        <v>0</v>
      </c>
      <c r="H485" s="47">
        <v>0</v>
      </c>
      <c r="I485" s="47">
        <v>4134</v>
      </c>
      <c r="J485" s="47">
        <v>9.5875</v>
      </c>
      <c r="L485" s="47" t="s">
        <v>15</v>
      </c>
    </row>
    <row r="486" spans="1:12">
      <c r="A486" s="47">
        <v>485</v>
      </c>
      <c r="B486" s="47">
        <v>1</v>
      </c>
      <c r="C486" s="47">
        <v>1</v>
      </c>
      <c r="D486" s="47" t="s">
        <v>697</v>
      </c>
      <c r="E486" s="47" t="s">
        <v>13</v>
      </c>
      <c r="F486" s="47">
        <v>25</v>
      </c>
      <c r="G486" s="47">
        <v>1</v>
      </c>
      <c r="H486" s="47">
        <v>0</v>
      </c>
      <c r="I486" s="47">
        <v>11967</v>
      </c>
      <c r="J486" s="47">
        <v>91.0792</v>
      </c>
      <c r="K486" s="47" t="s">
        <v>439</v>
      </c>
      <c r="L486" s="47" t="s">
        <v>20</v>
      </c>
    </row>
    <row r="487" spans="1:12">
      <c r="A487" s="47">
        <v>486</v>
      </c>
      <c r="B487" s="47">
        <v>0</v>
      </c>
      <c r="C487" s="47">
        <v>3</v>
      </c>
      <c r="D487" s="47" t="s">
        <v>698</v>
      </c>
      <c r="E487" s="47" t="s">
        <v>17</v>
      </c>
      <c r="G487" s="47">
        <v>3</v>
      </c>
      <c r="H487" s="47">
        <v>1</v>
      </c>
      <c r="I487" s="47">
        <v>4133</v>
      </c>
      <c r="J487" s="47">
        <v>25.4667</v>
      </c>
      <c r="L487" s="47" t="s">
        <v>15</v>
      </c>
    </row>
    <row r="488" spans="1:12">
      <c r="A488" s="47">
        <v>487</v>
      </c>
      <c r="B488" s="47">
        <v>1</v>
      </c>
      <c r="C488" s="47">
        <v>1</v>
      </c>
      <c r="D488" s="47" t="s">
        <v>699</v>
      </c>
      <c r="E488" s="47" t="s">
        <v>17</v>
      </c>
      <c r="F488" s="47">
        <v>35</v>
      </c>
      <c r="G488" s="47">
        <v>1</v>
      </c>
      <c r="H488" s="47">
        <v>0</v>
      </c>
      <c r="I488" s="47">
        <v>19943</v>
      </c>
      <c r="J488" s="47">
        <v>90</v>
      </c>
      <c r="K488" s="47" t="s">
        <v>342</v>
      </c>
      <c r="L488" s="47" t="s">
        <v>15</v>
      </c>
    </row>
    <row r="489" spans="1:12">
      <c r="A489" s="47">
        <v>488</v>
      </c>
      <c r="B489" s="47">
        <v>0</v>
      </c>
      <c r="C489" s="47">
        <v>1</v>
      </c>
      <c r="D489" s="47" t="s">
        <v>700</v>
      </c>
      <c r="E489" s="47" t="s">
        <v>13</v>
      </c>
      <c r="F489" s="47">
        <v>58</v>
      </c>
      <c r="G489" s="47">
        <v>0</v>
      </c>
      <c r="H489" s="47">
        <v>0</v>
      </c>
      <c r="I489" s="47">
        <v>11771</v>
      </c>
      <c r="J489" s="47">
        <v>29.7</v>
      </c>
      <c r="K489" s="47" t="s">
        <v>701</v>
      </c>
      <c r="L489" s="47" t="s">
        <v>20</v>
      </c>
    </row>
    <row r="490" spans="1:12">
      <c r="A490" s="47">
        <v>489</v>
      </c>
      <c r="B490" s="47">
        <v>0</v>
      </c>
      <c r="C490" s="47">
        <v>3</v>
      </c>
      <c r="D490" s="47" t="s">
        <v>702</v>
      </c>
      <c r="E490" s="47" t="s">
        <v>13</v>
      </c>
      <c r="F490" s="47">
        <v>30</v>
      </c>
      <c r="G490" s="47">
        <v>0</v>
      </c>
      <c r="H490" s="47">
        <v>0</v>
      </c>
      <c r="I490" s="47" t="s">
        <v>703</v>
      </c>
      <c r="J490" s="47">
        <v>8.05</v>
      </c>
      <c r="L490" s="47" t="s">
        <v>15</v>
      </c>
    </row>
    <row r="491" spans="1:12">
      <c r="A491" s="47">
        <v>490</v>
      </c>
      <c r="B491" s="47">
        <v>1</v>
      </c>
      <c r="C491" s="47">
        <v>3</v>
      </c>
      <c r="D491" s="47" t="s">
        <v>704</v>
      </c>
      <c r="E491" s="47" t="s">
        <v>13</v>
      </c>
      <c r="F491" s="47">
        <v>9</v>
      </c>
      <c r="G491" s="47">
        <v>1</v>
      </c>
      <c r="H491" s="47">
        <v>1</v>
      </c>
      <c r="I491" s="47" t="s">
        <v>522</v>
      </c>
      <c r="J491" s="47">
        <v>15.9</v>
      </c>
      <c r="L491" s="47" t="s">
        <v>15</v>
      </c>
    </row>
    <row r="492" spans="1:12">
      <c r="A492" s="47">
        <v>491</v>
      </c>
      <c r="B492" s="47">
        <v>0</v>
      </c>
      <c r="C492" s="47">
        <v>3</v>
      </c>
      <c r="D492" s="47" t="s">
        <v>705</v>
      </c>
      <c r="E492" s="47" t="s">
        <v>13</v>
      </c>
      <c r="G492" s="47">
        <v>1</v>
      </c>
      <c r="H492" s="47">
        <v>0</v>
      </c>
      <c r="I492" s="47">
        <v>65304</v>
      </c>
      <c r="J492" s="47">
        <v>19.9667</v>
      </c>
      <c r="L492" s="47" t="s">
        <v>15</v>
      </c>
    </row>
    <row r="493" spans="1:12">
      <c r="A493" s="47">
        <v>492</v>
      </c>
      <c r="B493" s="47">
        <v>0</v>
      </c>
      <c r="C493" s="47">
        <v>3</v>
      </c>
      <c r="D493" s="47" t="s">
        <v>706</v>
      </c>
      <c r="E493" s="47" t="s">
        <v>13</v>
      </c>
      <c r="F493" s="47">
        <v>21</v>
      </c>
      <c r="G493" s="47">
        <v>0</v>
      </c>
      <c r="H493" s="47">
        <v>0</v>
      </c>
      <c r="I493" s="47" t="s">
        <v>707</v>
      </c>
      <c r="J493" s="47">
        <v>7.25</v>
      </c>
      <c r="L493" s="47" t="s">
        <v>15</v>
      </c>
    </row>
    <row r="494" spans="1:12">
      <c r="A494" s="47">
        <v>493</v>
      </c>
      <c r="B494" s="47">
        <v>0</v>
      </c>
      <c r="C494" s="47">
        <v>1</v>
      </c>
      <c r="D494" s="47" t="s">
        <v>708</v>
      </c>
      <c r="E494" s="47" t="s">
        <v>13</v>
      </c>
      <c r="F494" s="47">
        <v>55</v>
      </c>
      <c r="G494" s="47">
        <v>0</v>
      </c>
      <c r="H494" s="47">
        <v>0</v>
      </c>
      <c r="I494" s="47">
        <v>113787</v>
      </c>
      <c r="J494" s="47">
        <v>30.5</v>
      </c>
      <c r="K494" s="47" t="s">
        <v>709</v>
      </c>
      <c r="L494" s="47" t="s">
        <v>15</v>
      </c>
    </row>
    <row r="495" spans="1:12">
      <c r="A495" s="47">
        <v>494</v>
      </c>
      <c r="B495" s="47">
        <v>0</v>
      </c>
      <c r="C495" s="47">
        <v>1</v>
      </c>
      <c r="D495" s="47" t="s">
        <v>710</v>
      </c>
      <c r="E495" s="47" t="s">
        <v>13</v>
      </c>
      <c r="F495" s="47">
        <v>71</v>
      </c>
      <c r="G495" s="47">
        <v>0</v>
      </c>
      <c r="H495" s="47">
        <v>0</v>
      </c>
      <c r="I495" s="47" t="s">
        <v>711</v>
      </c>
      <c r="J495" s="47">
        <v>49.5042</v>
      </c>
      <c r="L495" s="47" t="s">
        <v>20</v>
      </c>
    </row>
    <row r="496" spans="1:12">
      <c r="A496" s="47">
        <v>495</v>
      </c>
      <c r="B496" s="47">
        <v>0</v>
      </c>
      <c r="C496" s="47">
        <v>3</v>
      </c>
      <c r="D496" s="47" t="s">
        <v>712</v>
      </c>
      <c r="E496" s="47" t="s">
        <v>13</v>
      </c>
      <c r="F496" s="47">
        <v>21</v>
      </c>
      <c r="G496" s="47">
        <v>0</v>
      </c>
      <c r="H496" s="47">
        <v>0</v>
      </c>
      <c r="I496" s="47" t="s">
        <v>713</v>
      </c>
      <c r="J496" s="47">
        <v>8.05</v>
      </c>
      <c r="L496" s="47" t="s">
        <v>15</v>
      </c>
    </row>
    <row r="497" spans="1:12">
      <c r="A497" s="47">
        <v>496</v>
      </c>
      <c r="B497" s="47">
        <v>0</v>
      </c>
      <c r="C497" s="47">
        <v>3</v>
      </c>
      <c r="D497" s="47" t="s">
        <v>714</v>
      </c>
      <c r="E497" s="47" t="s">
        <v>13</v>
      </c>
      <c r="G497" s="47">
        <v>0</v>
      </c>
      <c r="H497" s="47">
        <v>0</v>
      </c>
      <c r="I497" s="47">
        <v>2627</v>
      </c>
      <c r="J497" s="47">
        <v>14.4583</v>
      </c>
      <c r="L497" s="47" t="s">
        <v>20</v>
      </c>
    </row>
    <row r="498" spans="1:12">
      <c r="A498" s="47">
        <v>497</v>
      </c>
      <c r="B498" s="47">
        <v>1</v>
      </c>
      <c r="C498" s="47">
        <v>1</v>
      </c>
      <c r="D498" s="47" t="s">
        <v>715</v>
      </c>
      <c r="E498" s="47" t="s">
        <v>17</v>
      </c>
      <c r="F498" s="47">
        <v>54</v>
      </c>
      <c r="G498" s="47">
        <v>1</v>
      </c>
      <c r="H498" s="47">
        <v>0</v>
      </c>
      <c r="I498" s="47">
        <v>36947</v>
      </c>
      <c r="J498" s="47">
        <v>78.2667</v>
      </c>
      <c r="K498" s="47" t="s">
        <v>716</v>
      </c>
      <c r="L498" s="47" t="s">
        <v>20</v>
      </c>
    </row>
    <row r="499" spans="1:12">
      <c r="A499" s="47">
        <v>498</v>
      </c>
      <c r="B499" s="47">
        <v>0</v>
      </c>
      <c r="C499" s="47">
        <v>3</v>
      </c>
      <c r="D499" s="47" t="s">
        <v>717</v>
      </c>
      <c r="E499" s="47" t="s">
        <v>13</v>
      </c>
      <c r="G499" s="47">
        <v>0</v>
      </c>
      <c r="H499" s="47">
        <v>0</v>
      </c>
      <c r="I499" s="47" t="s">
        <v>718</v>
      </c>
      <c r="J499" s="47">
        <v>15.1</v>
      </c>
      <c r="L499" s="47" t="s">
        <v>15</v>
      </c>
    </row>
    <row r="500" spans="1:12">
      <c r="A500" s="47">
        <v>499</v>
      </c>
      <c r="B500" s="47">
        <v>0</v>
      </c>
      <c r="C500" s="47">
        <v>1</v>
      </c>
      <c r="D500" s="47" t="s">
        <v>719</v>
      </c>
      <c r="E500" s="47" t="s">
        <v>17</v>
      </c>
      <c r="F500" s="47">
        <v>25</v>
      </c>
      <c r="G500" s="47">
        <v>1</v>
      </c>
      <c r="H500" s="47">
        <v>2</v>
      </c>
      <c r="I500" s="47">
        <v>113781</v>
      </c>
      <c r="J500" s="47">
        <v>151.55</v>
      </c>
      <c r="K500" s="47" t="s">
        <v>449</v>
      </c>
      <c r="L500" s="47" t="s">
        <v>15</v>
      </c>
    </row>
    <row r="501" spans="1:12">
      <c r="A501" s="47">
        <v>500</v>
      </c>
      <c r="B501" s="47">
        <v>0</v>
      </c>
      <c r="C501" s="47">
        <v>3</v>
      </c>
      <c r="D501" s="47" t="s">
        <v>720</v>
      </c>
      <c r="E501" s="47" t="s">
        <v>13</v>
      </c>
      <c r="F501" s="47">
        <v>24</v>
      </c>
      <c r="G501" s="47">
        <v>0</v>
      </c>
      <c r="H501" s="47">
        <v>0</v>
      </c>
      <c r="I501" s="47">
        <v>350035</v>
      </c>
      <c r="J501" s="47">
        <v>7.7958</v>
      </c>
      <c r="L501" s="47" t="s">
        <v>15</v>
      </c>
    </row>
    <row r="502" spans="1:12">
      <c r="A502" s="47">
        <v>501</v>
      </c>
      <c r="B502" s="47">
        <v>0</v>
      </c>
      <c r="C502" s="47">
        <v>3</v>
      </c>
      <c r="D502" s="47" t="s">
        <v>721</v>
      </c>
      <c r="E502" s="47" t="s">
        <v>13</v>
      </c>
      <c r="F502" s="47">
        <v>17</v>
      </c>
      <c r="G502" s="47">
        <v>0</v>
      </c>
      <c r="H502" s="47">
        <v>0</v>
      </c>
      <c r="I502" s="47">
        <v>315086</v>
      </c>
      <c r="J502" s="47">
        <v>8.6625</v>
      </c>
      <c r="L502" s="47" t="s">
        <v>15</v>
      </c>
    </row>
    <row r="503" spans="1:12">
      <c r="A503" s="47">
        <v>502</v>
      </c>
      <c r="B503" s="47">
        <v>0</v>
      </c>
      <c r="C503" s="47">
        <v>3</v>
      </c>
      <c r="D503" s="47" t="s">
        <v>722</v>
      </c>
      <c r="E503" s="47" t="s">
        <v>17</v>
      </c>
      <c r="F503" s="47">
        <v>21</v>
      </c>
      <c r="G503" s="47">
        <v>0</v>
      </c>
      <c r="H503" s="47">
        <v>0</v>
      </c>
      <c r="I503" s="47">
        <v>364846</v>
      </c>
      <c r="J503" s="47">
        <v>7.75</v>
      </c>
      <c r="L503" s="47" t="s">
        <v>27</v>
      </c>
    </row>
    <row r="504" spans="1:12">
      <c r="A504" s="47">
        <v>503</v>
      </c>
      <c r="B504" s="47">
        <v>0</v>
      </c>
      <c r="C504" s="47">
        <v>3</v>
      </c>
      <c r="D504" s="47" t="s">
        <v>723</v>
      </c>
      <c r="E504" s="47" t="s">
        <v>17</v>
      </c>
      <c r="G504" s="47">
        <v>0</v>
      </c>
      <c r="H504" s="47">
        <v>0</v>
      </c>
      <c r="I504" s="47">
        <v>330909</v>
      </c>
      <c r="J504" s="47">
        <v>7.6292</v>
      </c>
      <c r="L504" s="47" t="s">
        <v>27</v>
      </c>
    </row>
    <row r="505" spans="1:12">
      <c r="A505" s="47">
        <v>504</v>
      </c>
      <c r="B505" s="47">
        <v>0</v>
      </c>
      <c r="C505" s="47">
        <v>3</v>
      </c>
      <c r="D505" s="47" t="s">
        <v>724</v>
      </c>
      <c r="E505" s="47" t="s">
        <v>17</v>
      </c>
      <c r="F505" s="47">
        <v>37</v>
      </c>
      <c r="G505" s="47">
        <v>0</v>
      </c>
      <c r="H505" s="47">
        <v>0</v>
      </c>
      <c r="I505" s="47">
        <v>4135</v>
      </c>
      <c r="J505" s="47">
        <v>9.5875</v>
      </c>
      <c r="L505" s="47" t="s">
        <v>15</v>
      </c>
    </row>
    <row r="506" spans="1:12">
      <c r="A506" s="47">
        <v>505</v>
      </c>
      <c r="B506" s="47">
        <v>1</v>
      </c>
      <c r="C506" s="47">
        <v>1</v>
      </c>
      <c r="D506" s="47" t="s">
        <v>725</v>
      </c>
      <c r="E506" s="47" t="s">
        <v>17</v>
      </c>
      <c r="F506" s="47">
        <v>16</v>
      </c>
      <c r="G506" s="47">
        <v>0</v>
      </c>
      <c r="H506" s="47">
        <v>0</v>
      </c>
      <c r="I506" s="47">
        <v>110152</v>
      </c>
      <c r="J506" s="47">
        <v>86.5</v>
      </c>
      <c r="K506" s="47" t="s">
        <v>726</v>
      </c>
      <c r="L506" s="47" t="s">
        <v>15</v>
      </c>
    </row>
    <row r="507" spans="1:12">
      <c r="A507" s="47">
        <v>506</v>
      </c>
      <c r="B507" s="47">
        <v>0</v>
      </c>
      <c r="C507" s="47">
        <v>1</v>
      </c>
      <c r="D507" s="47" t="s">
        <v>727</v>
      </c>
      <c r="E507" s="47" t="s">
        <v>13</v>
      </c>
      <c r="F507" s="47">
        <v>18</v>
      </c>
      <c r="G507" s="47">
        <v>1</v>
      </c>
      <c r="H507" s="47">
        <v>0</v>
      </c>
      <c r="I507" s="47" t="s">
        <v>462</v>
      </c>
      <c r="J507" s="47">
        <v>108.9</v>
      </c>
      <c r="K507" s="47" t="s">
        <v>463</v>
      </c>
      <c r="L507" s="47" t="s">
        <v>20</v>
      </c>
    </row>
    <row r="508" spans="1:12">
      <c r="A508" s="47">
        <v>507</v>
      </c>
      <c r="B508" s="47">
        <v>1</v>
      </c>
      <c r="C508" s="47">
        <v>2</v>
      </c>
      <c r="D508" s="47" t="s">
        <v>728</v>
      </c>
      <c r="E508" s="47" t="s">
        <v>17</v>
      </c>
      <c r="F508" s="47">
        <v>33</v>
      </c>
      <c r="G508" s="47">
        <v>0</v>
      </c>
      <c r="H508" s="47">
        <v>2</v>
      </c>
      <c r="I508" s="47">
        <v>26360</v>
      </c>
      <c r="J508" s="47">
        <v>26</v>
      </c>
      <c r="L508" s="47" t="s">
        <v>15</v>
      </c>
    </row>
    <row r="509" spans="1:12">
      <c r="A509" s="47">
        <v>508</v>
      </c>
      <c r="B509" s="47">
        <v>1</v>
      </c>
      <c r="C509" s="47">
        <v>1</v>
      </c>
      <c r="D509" s="47" t="s">
        <v>729</v>
      </c>
      <c r="E509" s="47" t="s">
        <v>13</v>
      </c>
      <c r="G509" s="47">
        <v>0</v>
      </c>
      <c r="H509" s="47">
        <v>0</v>
      </c>
      <c r="I509" s="47">
        <v>111427</v>
      </c>
      <c r="J509" s="47">
        <v>26.55</v>
      </c>
      <c r="L509" s="47" t="s">
        <v>15</v>
      </c>
    </row>
    <row r="510" spans="1:12">
      <c r="A510" s="47">
        <v>509</v>
      </c>
      <c r="B510" s="47">
        <v>0</v>
      </c>
      <c r="C510" s="47">
        <v>3</v>
      </c>
      <c r="D510" s="47" t="s">
        <v>730</v>
      </c>
      <c r="E510" s="47" t="s">
        <v>13</v>
      </c>
      <c r="F510" s="47">
        <v>28</v>
      </c>
      <c r="G510" s="47">
        <v>0</v>
      </c>
      <c r="H510" s="47">
        <v>0</v>
      </c>
      <c r="I510" s="47" t="s">
        <v>731</v>
      </c>
      <c r="J510" s="47">
        <v>22.525</v>
      </c>
      <c r="L510" s="47" t="s">
        <v>15</v>
      </c>
    </row>
    <row r="511" spans="1:12">
      <c r="A511" s="47">
        <v>510</v>
      </c>
      <c r="B511" s="47">
        <v>1</v>
      </c>
      <c r="C511" s="47">
        <v>3</v>
      </c>
      <c r="D511" s="47" t="s">
        <v>732</v>
      </c>
      <c r="E511" s="47" t="s">
        <v>13</v>
      </c>
      <c r="F511" s="47">
        <v>26</v>
      </c>
      <c r="G511" s="47">
        <v>0</v>
      </c>
      <c r="H511" s="47">
        <v>0</v>
      </c>
      <c r="I511" s="47">
        <v>1601</v>
      </c>
      <c r="J511" s="47">
        <v>56.4958</v>
      </c>
      <c r="L511" s="47" t="s">
        <v>15</v>
      </c>
    </row>
    <row r="512" spans="1:12">
      <c r="A512" s="47">
        <v>511</v>
      </c>
      <c r="B512" s="47">
        <v>1</v>
      </c>
      <c r="C512" s="47">
        <v>3</v>
      </c>
      <c r="D512" s="47" t="s">
        <v>733</v>
      </c>
      <c r="E512" s="47" t="s">
        <v>13</v>
      </c>
      <c r="F512" s="47">
        <v>29</v>
      </c>
      <c r="G512" s="47">
        <v>0</v>
      </c>
      <c r="H512" s="47">
        <v>0</v>
      </c>
      <c r="I512" s="47">
        <v>382651</v>
      </c>
      <c r="J512" s="47">
        <v>7.75</v>
      </c>
      <c r="L512" s="47" t="s">
        <v>27</v>
      </c>
    </row>
    <row r="513" spans="1:12">
      <c r="A513" s="47">
        <v>512</v>
      </c>
      <c r="B513" s="47">
        <v>0</v>
      </c>
      <c r="C513" s="47">
        <v>3</v>
      </c>
      <c r="D513" s="47" t="s">
        <v>734</v>
      </c>
      <c r="E513" s="47" t="s">
        <v>13</v>
      </c>
      <c r="G513" s="47">
        <v>0</v>
      </c>
      <c r="H513" s="47">
        <v>0</v>
      </c>
      <c r="I513" s="47" t="s">
        <v>735</v>
      </c>
      <c r="J513" s="47">
        <v>8.05</v>
      </c>
      <c r="L513" s="47" t="s">
        <v>15</v>
      </c>
    </row>
    <row r="514" spans="1:12">
      <c r="A514" s="47">
        <v>513</v>
      </c>
      <c r="B514" s="47">
        <v>1</v>
      </c>
      <c r="C514" s="47">
        <v>1</v>
      </c>
      <c r="D514" s="47" t="s">
        <v>736</v>
      </c>
      <c r="E514" s="47" t="s">
        <v>13</v>
      </c>
      <c r="F514" s="47">
        <v>36</v>
      </c>
      <c r="G514" s="47">
        <v>0</v>
      </c>
      <c r="H514" s="47">
        <v>0</v>
      </c>
      <c r="I514" s="47" t="s">
        <v>737</v>
      </c>
      <c r="J514" s="47">
        <v>26.2875</v>
      </c>
      <c r="K514" s="47" t="s">
        <v>738</v>
      </c>
      <c r="L514" s="47" t="s">
        <v>15</v>
      </c>
    </row>
    <row r="515" spans="1:12">
      <c r="A515" s="47">
        <v>514</v>
      </c>
      <c r="B515" s="47">
        <v>1</v>
      </c>
      <c r="C515" s="47">
        <v>1</v>
      </c>
      <c r="D515" s="47" t="s">
        <v>739</v>
      </c>
      <c r="E515" s="47" t="s">
        <v>17</v>
      </c>
      <c r="F515" s="47">
        <v>54</v>
      </c>
      <c r="G515" s="47">
        <v>1</v>
      </c>
      <c r="H515" s="47">
        <v>0</v>
      </c>
      <c r="I515" s="47" t="s">
        <v>740</v>
      </c>
      <c r="J515" s="47">
        <v>59.4</v>
      </c>
      <c r="L515" s="47" t="s">
        <v>20</v>
      </c>
    </row>
    <row r="516" spans="1:12">
      <c r="A516" s="47">
        <v>515</v>
      </c>
      <c r="B516" s="47">
        <v>0</v>
      </c>
      <c r="C516" s="47">
        <v>3</v>
      </c>
      <c r="D516" s="47" t="s">
        <v>741</v>
      </c>
      <c r="E516" s="47" t="s">
        <v>13</v>
      </c>
      <c r="F516" s="47">
        <v>24</v>
      </c>
      <c r="G516" s="47">
        <v>0</v>
      </c>
      <c r="H516" s="47">
        <v>0</v>
      </c>
      <c r="I516" s="47">
        <v>349209</v>
      </c>
      <c r="J516" s="47">
        <v>7.4958</v>
      </c>
      <c r="L516" s="47" t="s">
        <v>15</v>
      </c>
    </row>
    <row r="517" spans="1:12">
      <c r="A517" s="47">
        <v>516</v>
      </c>
      <c r="B517" s="47">
        <v>0</v>
      </c>
      <c r="C517" s="47">
        <v>1</v>
      </c>
      <c r="D517" s="47" t="s">
        <v>742</v>
      </c>
      <c r="E517" s="47" t="s">
        <v>13</v>
      </c>
      <c r="F517" s="47">
        <v>47</v>
      </c>
      <c r="G517" s="47">
        <v>0</v>
      </c>
      <c r="H517" s="47">
        <v>0</v>
      </c>
      <c r="I517" s="47">
        <v>36967</v>
      </c>
      <c r="J517" s="47">
        <v>34.0208</v>
      </c>
      <c r="K517" s="47" t="s">
        <v>743</v>
      </c>
      <c r="L517" s="47" t="s">
        <v>15</v>
      </c>
    </row>
    <row r="518" spans="1:12">
      <c r="A518" s="47">
        <v>517</v>
      </c>
      <c r="B518" s="47">
        <v>1</v>
      </c>
      <c r="C518" s="47">
        <v>2</v>
      </c>
      <c r="D518" s="47" t="s">
        <v>744</v>
      </c>
      <c r="E518" s="47" t="s">
        <v>17</v>
      </c>
      <c r="F518" s="47">
        <v>34</v>
      </c>
      <c r="G518" s="47">
        <v>0</v>
      </c>
      <c r="H518" s="47">
        <v>0</v>
      </c>
      <c r="I518" s="47" t="s">
        <v>745</v>
      </c>
      <c r="J518" s="47">
        <v>10.5</v>
      </c>
      <c r="K518" s="47" t="s">
        <v>117</v>
      </c>
      <c r="L518" s="47" t="s">
        <v>15</v>
      </c>
    </row>
    <row r="519" spans="1:12">
      <c r="A519" s="47">
        <v>518</v>
      </c>
      <c r="B519" s="47">
        <v>0</v>
      </c>
      <c r="C519" s="47">
        <v>3</v>
      </c>
      <c r="D519" s="47" t="s">
        <v>746</v>
      </c>
      <c r="E519" s="47" t="s">
        <v>13</v>
      </c>
      <c r="G519" s="47">
        <v>0</v>
      </c>
      <c r="H519" s="47">
        <v>0</v>
      </c>
      <c r="I519" s="47">
        <v>371110</v>
      </c>
      <c r="J519" s="47">
        <v>24.15</v>
      </c>
      <c r="L519" s="47" t="s">
        <v>27</v>
      </c>
    </row>
    <row r="520" spans="1:12">
      <c r="A520" s="47">
        <v>519</v>
      </c>
      <c r="B520" s="47">
        <v>1</v>
      </c>
      <c r="C520" s="47">
        <v>2</v>
      </c>
      <c r="D520" s="47" t="s">
        <v>747</v>
      </c>
      <c r="E520" s="47" t="s">
        <v>17</v>
      </c>
      <c r="F520" s="47">
        <v>36</v>
      </c>
      <c r="G520" s="47">
        <v>1</v>
      </c>
      <c r="H520" s="47">
        <v>0</v>
      </c>
      <c r="I520" s="47">
        <v>226875</v>
      </c>
      <c r="J520" s="47">
        <v>26</v>
      </c>
      <c r="L520" s="47" t="s">
        <v>15</v>
      </c>
    </row>
    <row r="521" spans="1:12">
      <c r="A521" s="47">
        <v>520</v>
      </c>
      <c r="B521" s="47">
        <v>0</v>
      </c>
      <c r="C521" s="47">
        <v>3</v>
      </c>
      <c r="D521" s="47" t="s">
        <v>748</v>
      </c>
      <c r="E521" s="47" t="s">
        <v>13</v>
      </c>
      <c r="F521" s="47">
        <v>32</v>
      </c>
      <c r="G521" s="47">
        <v>0</v>
      </c>
      <c r="H521" s="47">
        <v>0</v>
      </c>
      <c r="I521" s="47">
        <v>349242</v>
      </c>
      <c r="J521" s="47">
        <v>7.8958</v>
      </c>
      <c r="L521" s="47" t="s">
        <v>15</v>
      </c>
    </row>
    <row r="522" spans="1:12">
      <c r="A522" s="47">
        <v>521</v>
      </c>
      <c r="B522" s="47">
        <v>1</v>
      </c>
      <c r="C522" s="47">
        <v>1</v>
      </c>
      <c r="D522" s="47" t="s">
        <v>749</v>
      </c>
      <c r="E522" s="47" t="s">
        <v>17</v>
      </c>
      <c r="F522" s="47">
        <v>30</v>
      </c>
      <c r="G522" s="47">
        <v>0</v>
      </c>
      <c r="H522" s="47">
        <v>0</v>
      </c>
      <c r="I522" s="47">
        <v>12749</v>
      </c>
      <c r="J522" s="47">
        <v>93.5</v>
      </c>
      <c r="K522" s="47" t="s">
        <v>750</v>
      </c>
      <c r="L522" s="47" t="s">
        <v>15</v>
      </c>
    </row>
    <row r="523" spans="1:12">
      <c r="A523" s="47">
        <v>522</v>
      </c>
      <c r="B523" s="47">
        <v>0</v>
      </c>
      <c r="C523" s="47">
        <v>3</v>
      </c>
      <c r="D523" s="47" t="s">
        <v>751</v>
      </c>
      <c r="E523" s="47" t="s">
        <v>13</v>
      </c>
      <c r="F523" s="47">
        <v>22</v>
      </c>
      <c r="G523" s="47">
        <v>0</v>
      </c>
      <c r="H523" s="47">
        <v>0</v>
      </c>
      <c r="I523" s="47">
        <v>349252</v>
      </c>
      <c r="J523" s="47">
        <v>7.8958</v>
      </c>
      <c r="L523" s="47" t="s">
        <v>15</v>
      </c>
    </row>
    <row r="524" spans="1:12">
      <c r="A524" s="47">
        <v>523</v>
      </c>
      <c r="B524" s="47">
        <v>0</v>
      </c>
      <c r="C524" s="47">
        <v>3</v>
      </c>
      <c r="D524" s="47" t="s">
        <v>752</v>
      </c>
      <c r="E524" s="47" t="s">
        <v>13</v>
      </c>
      <c r="G524" s="47">
        <v>0</v>
      </c>
      <c r="H524" s="47">
        <v>0</v>
      </c>
      <c r="I524" s="47">
        <v>2624</v>
      </c>
      <c r="J524" s="47">
        <v>7.225</v>
      </c>
      <c r="L524" s="47" t="s">
        <v>20</v>
      </c>
    </row>
    <row r="525" spans="1:12">
      <c r="A525" s="47">
        <v>524</v>
      </c>
      <c r="B525" s="47">
        <v>1</v>
      </c>
      <c r="C525" s="47">
        <v>1</v>
      </c>
      <c r="D525" s="47" t="s">
        <v>753</v>
      </c>
      <c r="E525" s="47" t="s">
        <v>17</v>
      </c>
      <c r="F525" s="47">
        <v>44</v>
      </c>
      <c r="G525" s="47">
        <v>0</v>
      </c>
      <c r="H525" s="47">
        <v>1</v>
      </c>
      <c r="I525" s="47">
        <v>111361</v>
      </c>
      <c r="J525" s="47">
        <v>57.9792</v>
      </c>
      <c r="K525" s="47" t="s">
        <v>497</v>
      </c>
      <c r="L525" s="47" t="s">
        <v>20</v>
      </c>
    </row>
    <row r="526" spans="1:12">
      <c r="A526" s="47">
        <v>525</v>
      </c>
      <c r="B526" s="47">
        <v>0</v>
      </c>
      <c r="C526" s="47">
        <v>3</v>
      </c>
      <c r="D526" s="47" t="s">
        <v>754</v>
      </c>
      <c r="E526" s="47" t="s">
        <v>13</v>
      </c>
      <c r="G526" s="47">
        <v>0</v>
      </c>
      <c r="H526" s="47">
        <v>0</v>
      </c>
      <c r="I526" s="47">
        <v>2700</v>
      </c>
      <c r="J526" s="47">
        <v>7.2292</v>
      </c>
      <c r="L526" s="47" t="s">
        <v>20</v>
      </c>
    </row>
    <row r="527" spans="1:12">
      <c r="A527" s="47">
        <v>526</v>
      </c>
      <c r="B527" s="47">
        <v>0</v>
      </c>
      <c r="C527" s="47">
        <v>3</v>
      </c>
      <c r="D527" s="47" t="s">
        <v>755</v>
      </c>
      <c r="E527" s="47" t="s">
        <v>13</v>
      </c>
      <c r="F527" s="47">
        <v>40.5</v>
      </c>
      <c r="G527" s="47">
        <v>0</v>
      </c>
      <c r="H527" s="47">
        <v>0</v>
      </c>
      <c r="I527" s="47">
        <v>367232</v>
      </c>
      <c r="J527" s="47">
        <v>7.75</v>
      </c>
      <c r="L527" s="47" t="s">
        <v>27</v>
      </c>
    </row>
    <row r="528" spans="1:12">
      <c r="A528" s="47">
        <v>527</v>
      </c>
      <c r="B528" s="47">
        <v>1</v>
      </c>
      <c r="C528" s="47">
        <v>2</v>
      </c>
      <c r="D528" s="47" t="s">
        <v>756</v>
      </c>
      <c r="E528" s="47" t="s">
        <v>17</v>
      </c>
      <c r="F528" s="47">
        <v>50</v>
      </c>
      <c r="G528" s="47">
        <v>0</v>
      </c>
      <c r="H528" s="47">
        <v>0</v>
      </c>
      <c r="I528" s="47" t="s">
        <v>757</v>
      </c>
      <c r="J528" s="47">
        <v>10.5</v>
      </c>
      <c r="L528" s="47" t="s">
        <v>15</v>
      </c>
    </row>
    <row r="529" spans="1:12">
      <c r="A529" s="47">
        <v>528</v>
      </c>
      <c r="B529" s="47">
        <v>0</v>
      </c>
      <c r="C529" s="47">
        <v>1</v>
      </c>
      <c r="D529" s="47" t="s">
        <v>758</v>
      </c>
      <c r="E529" s="47" t="s">
        <v>13</v>
      </c>
      <c r="G529" s="47">
        <v>0</v>
      </c>
      <c r="H529" s="47">
        <v>0</v>
      </c>
      <c r="I529" s="47" t="s">
        <v>759</v>
      </c>
      <c r="J529" s="47">
        <v>221.7792</v>
      </c>
      <c r="K529" s="47" t="s">
        <v>760</v>
      </c>
      <c r="L529" s="47" t="s">
        <v>15</v>
      </c>
    </row>
    <row r="530" spans="1:12">
      <c r="A530" s="47">
        <v>529</v>
      </c>
      <c r="B530" s="47">
        <v>0</v>
      </c>
      <c r="C530" s="47">
        <v>3</v>
      </c>
      <c r="D530" s="47" t="s">
        <v>761</v>
      </c>
      <c r="E530" s="47" t="s">
        <v>13</v>
      </c>
      <c r="F530" s="47">
        <v>39</v>
      </c>
      <c r="G530" s="47">
        <v>0</v>
      </c>
      <c r="H530" s="47">
        <v>0</v>
      </c>
      <c r="I530" s="47">
        <v>3101296</v>
      </c>
      <c r="J530" s="47">
        <v>7.925</v>
      </c>
      <c r="L530" s="47" t="s">
        <v>15</v>
      </c>
    </row>
    <row r="531" spans="1:12">
      <c r="A531" s="47">
        <v>530</v>
      </c>
      <c r="B531" s="47">
        <v>0</v>
      </c>
      <c r="C531" s="47">
        <v>2</v>
      </c>
      <c r="D531" s="47" t="s">
        <v>762</v>
      </c>
      <c r="E531" s="47" t="s">
        <v>13</v>
      </c>
      <c r="F531" s="47">
        <v>23</v>
      </c>
      <c r="G531" s="47">
        <v>2</v>
      </c>
      <c r="H531" s="47">
        <v>1</v>
      </c>
      <c r="I531" s="47">
        <v>29104</v>
      </c>
      <c r="J531" s="47">
        <v>11.5</v>
      </c>
      <c r="L531" s="47" t="s">
        <v>15</v>
      </c>
    </row>
    <row r="532" spans="1:12">
      <c r="A532" s="47">
        <v>531</v>
      </c>
      <c r="B532" s="47">
        <v>1</v>
      </c>
      <c r="C532" s="47">
        <v>2</v>
      </c>
      <c r="D532" s="47" t="s">
        <v>763</v>
      </c>
      <c r="E532" s="47" t="s">
        <v>17</v>
      </c>
      <c r="F532" s="47">
        <v>2</v>
      </c>
      <c r="G532" s="47">
        <v>1</v>
      </c>
      <c r="H532" s="47">
        <v>1</v>
      </c>
      <c r="I532" s="47">
        <v>26360</v>
      </c>
      <c r="J532" s="47">
        <v>26</v>
      </c>
      <c r="L532" s="47" t="s">
        <v>15</v>
      </c>
    </row>
    <row r="533" spans="1:12">
      <c r="A533" s="47">
        <v>532</v>
      </c>
      <c r="B533" s="47">
        <v>0</v>
      </c>
      <c r="C533" s="47">
        <v>3</v>
      </c>
      <c r="D533" s="47" t="s">
        <v>764</v>
      </c>
      <c r="E533" s="47" t="s">
        <v>13</v>
      </c>
      <c r="G533" s="47">
        <v>0</v>
      </c>
      <c r="H533" s="47">
        <v>0</v>
      </c>
      <c r="I533" s="47">
        <v>2641</v>
      </c>
      <c r="J533" s="47">
        <v>7.2292</v>
      </c>
      <c r="L533" s="47" t="s">
        <v>20</v>
      </c>
    </row>
    <row r="534" spans="1:12">
      <c r="A534" s="47">
        <v>533</v>
      </c>
      <c r="B534" s="47">
        <v>0</v>
      </c>
      <c r="C534" s="47">
        <v>3</v>
      </c>
      <c r="D534" s="47" t="s">
        <v>765</v>
      </c>
      <c r="E534" s="47" t="s">
        <v>13</v>
      </c>
      <c r="F534" s="47">
        <v>17</v>
      </c>
      <c r="G534" s="47">
        <v>1</v>
      </c>
      <c r="H534" s="47">
        <v>1</v>
      </c>
      <c r="I534" s="47">
        <v>2690</v>
      </c>
      <c r="J534" s="47">
        <v>7.2292</v>
      </c>
      <c r="L534" s="47" t="s">
        <v>20</v>
      </c>
    </row>
    <row r="535" spans="1:12">
      <c r="A535" s="47">
        <v>534</v>
      </c>
      <c r="B535" s="47">
        <v>1</v>
      </c>
      <c r="C535" s="47">
        <v>3</v>
      </c>
      <c r="D535" s="47" t="s">
        <v>766</v>
      </c>
      <c r="E535" s="47" t="s">
        <v>17</v>
      </c>
      <c r="G535" s="47">
        <v>0</v>
      </c>
      <c r="H535" s="47">
        <v>2</v>
      </c>
      <c r="I535" s="47">
        <v>2668</v>
      </c>
      <c r="J535" s="47">
        <v>22.3583</v>
      </c>
      <c r="L535" s="47" t="s">
        <v>20</v>
      </c>
    </row>
    <row r="536" spans="1:12">
      <c r="A536" s="47">
        <v>535</v>
      </c>
      <c r="B536" s="47">
        <v>0</v>
      </c>
      <c r="C536" s="47">
        <v>3</v>
      </c>
      <c r="D536" s="47" t="s">
        <v>767</v>
      </c>
      <c r="E536" s="47" t="s">
        <v>17</v>
      </c>
      <c r="F536" s="47">
        <v>30</v>
      </c>
      <c r="G536" s="47">
        <v>0</v>
      </c>
      <c r="H536" s="47">
        <v>0</v>
      </c>
      <c r="I536" s="47">
        <v>315084</v>
      </c>
      <c r="J536" s="47">
        <v>8.6625</v>
      </c>
      <c r="L536" s="47" t="s">
        <v>15</v>
      </c>
    </row>
    <row r="537" spans="1:12">
      <c r="A537" s="47">
        <v>536</v>
      </c>
      <c r="B537" s="47">
        <v>1</v>
      </c>
      <c r="C537" s="47">
        <v>2</v>
      </c>
      <c r="D537" s="47" t="s">
        <v>768</v>
      </c>
      <c r="E537" s="47" t="s">
        <v>17</v>
      </c>
      <c r="F537" s="47">
        <v>7</v>
      </c>
      <c r="G537" s="47">
        <v>0</v>
      </c>
      <c r="H537" s="47">
        <v>2</v>
      </c>
      <c r="I537" s="47" t="s">
        <v>477</v>
      </c>
      <c r="J537" s="47">
        <v>26.25</v>
      </c>
      <c r="L537" s="47" t="s">
        <v>15</v>
      </c>
    </row>
    <row r="538" spans="1:12">
      <c r="A538" s="47">
        <v>537</v>
      </c>
      <c r="B538" s="47">
        <v>0</v>
      </c>
      <c r="C538" s="47">
        <v>1</v>
      </c>
      <c r="D538" s="47" t="s">
        <v>769</v>
      </c>
      <c r="E538" s="47" t="s">
        <v>13</v>
      </c>
      <c r="F538" s="47">
        <v>45</v>
      </c>
      <c r="G538" s="47">
        <v>0</v>
      </c>
      <c r="H538" s="47">
        <v>0</v>
      </c>
      <c r="I538" s="47">
        <v>113050</v>
      </c>
      <c r="J538" s="47">
        <v>26.55</v>
      </c>
      <c r="K538" s="47" t="s">
        <v>770</v>
      </c>
      <c r="L538" s="47" t="s">
        <v>15</v>
      </c>
    </row>
    <row r="539" spans="1:12">
      <c r="A539" s="47">
        <v>538</v>
      </c>
      <c r="B539" s="47">
        <v>1</v>
      </c>
      <c r="C539" s="47">
        <v>1</v>
      </c>
      <c r="D539" s="47" t="s">
        <v>771</v>
      </c>
      <c r="E539" s="47" t="s">
        <v>17</v>
      </c>
      <c r="F539" s="47">
        <v>30</v>
      </c>
      <c r="G539" s="47">
        <v>0</v>
      </c>
      <c r="H539" s="47">
        <v>0</v>
      </c>
      <c r="I539" s="47" t="s">
        <v>772</v>
      </c>
      <c r="J539" s="47">
        <v>106.425</v>
      </c>
      <c r="L539" s="47" t="s">
        <v>20</v>
      </c>
    </row>
    <row r="540" spans="1:12">
      <c r="A540" s="47">
        <v>539</v>
      </c>
      <c r="B540" s="47">
        <v>0</v>
      </c>
      <c r="C540" s="47">
        <v>3</v>
      </c>
      <c r="D540" s="47" t="s">
        <v>773</v>
      </c>
      <c r="E540" s="47" t="s">
        <v>13</v>
      </c>
      <c r="G540" s="47">
        <v>0</v>
      </c>
      <c r="H540" s="47">
        <v>0</v>
      </c>
      <c r="I540" s="47">
        <v>364498</v>
      </c>
      <c r="J540" s="47">
        <v>14.5</v>
      </c>
      <c r="L540" s="47" t="s">
        <v>15</v>
      </c>
    </row>
    <row r="541" spans="1:12">
      <c r="A541" s="47">
        <v>540</v>
      </c>
      <c r="B541" s="47">
        <v>1</v>
      </c>
      <c r="C541" s="47">
        <v>1</v>
      </c>
      <c r="D541" s="47" t="s">
        <v>774</v>
      </c>
      <c r="E541" s="47" t="s">
        <v>17</v>
      </c>
      <c r="F541" s="47">
        <v>22</v>
      </c>
      <c r="G541" s="47">
        <v>0</v>
      </c>
      <c r="H541" s="47">
        <v>2</v>
      </c>
      <c r="I541" s="47">
        <v>13568</v>
      </c>
      <c r="J541" s="47">
        <v>49.5</v>
      </c>
      <c r="K541" s="47" t="s">
        <v>775</v>
      </c>
      <c r="L541" s="47" t="s">
        <v>20</v>
      </c>
    </row>
    <row r="542" spans="1:12">
      <c r="A542" s="47">
        <v>541</v>
      </c>
      <c r="B542" s="47">
        <v>1</v>
      </c>
      <c r="C542" s="47">
        <v>1</v>
      </c>
      <c r="D542" s="47" t="s">
        <v>776</v>
      </c>
      <c r="E542" s="47" t="s">
        <v>17</v>
      </c>
      <c r="F542" s="47">
        <v>36</v>
      </c>
      <c r="G542" s="47">
        <v>0</v>
      </c>
      <c r="H542" s="47">
        <v>2</v>
      </c>
      <c r="I542" s="47" t="s">
        <v>777</v>
      </c>
      <c r="J542" s="47">
        <v>71</v>
      </c>
      <c r="K542" s="47" t="s">
        <v>778</v>
      </c>
      <c r="L542" s="47" t="s">
        <v>15</v>
      </c>
    </row>
    <row r="543" spans="1:12">
      <c r="A543" s="47">
        <v>542</v>
      </c>
      <c r="B543" s="47">
        <v>0</v>
      </c>
      <c r="C543" s="47">
        <v>3</v>
      </c>
      <c r="D543" s="47" t="s">
        <v>779</v>
      </c>
      <c r="E543" s="47" t="s">
        <v>17</v>
      </c>
      <c r="F543" s="47">
        <v>9</v>
      </c>
      <c r="G543" s="47">
        <v>4</v>
      </c>
      <c r="H543" s="47">
        <v>2</v>
      </c>
      <c r="I543" s="47">
        <v>347082</v>
      </c>
      <c r="J543" s="47">
        <v>31.275</v>
      </c>
      <c r="L543" s="47" t="s">
        <v>15</v>
      </c>
    </row>
    <row r="544" spans="1:12">
      <c r="A544" s="47">
        <v>543</v>
      </c>
      <c r="B544" s="47">
        <v>0</v>
      </c>
      <c r="C544" s="47">
        <v>3</v>
      </c>
      <c r="D544" s="47" t="s">
        <v>780</v>
      </c>
      <c r="E544" s="47" t="s">
        <v>17</v>
      </c>
      <c r="F544" s="47">
        <v>11</v>
      </c>
      <c r="G544" s="47">
        <v>4</v>
      </c>
      <c r="H544" s="47">
        <v>2</v>
      </c>
      <c r="I544" s="47">
        <v>347082</v>
      </c>
      <c r="J544" s="47">
        <v>31.275</v>
      </c>
      <c r="L544" s="47" t="s">
        <v>15</v>
      </c>
    </row>
    <row r="545" spans="1:12">
      <c r="A545" s="47">
        <v>544</v>
      </c>
      <c r="B545" s="47">
        <v>1</v>
      </c>
      <c r="C545" s="47">
        <v>2</v>
      </c>
      <c r="D545" s="47" t="s">
        <v>781</v>
      </c>
      <c r="E545" s="47" t="s">
        <v>13</v>
      </c>
      <c r="F545" s="47">
        <v>32</v>
      </c>
      <c r="G545" s="47">
        <v>1</v>
      </c>
      <c r="H545" s="47">
        <v>0</v>
      </c>
      <c r="I545" s="47">
        <v>2908</v>
      </c>
      <c r="J545" s="47">
        <v>26</v>
      </c>
      <c r="L545" s="47" t="s">
        <v>15</v>
      </c>
    </row>
    <row r="546" spans="1:12">
      <c r="A546" s="47">
        <v>545</v>
      </c>
      <c r="B546" s="47">
        <v>0</v>
      </c>
      <c r="C546" s="47">
        <v>1</v>
      </c>
      <c r="D546" s="47" t="s">
        <v>782</v>
      </c>
      <c r="E546" s="47" t="s">
        <v>13</v>
      </c>
      <c r="F546" s="47">
        <v>50</v>
      </c>
      <c r="G546" s="47">
        <v>1</v>
      </c>
      <c r="H546" s="47">
        <v>0</v>
      </c>
      <c r="I546" s="47" t="s">
        <v>772</v>
      </c>
      <c r="J546" s="47">
        <v>106.425</v>
      </c>
      <c r="K546" s="47" t="s">
        <v>783</v>
      </c>
      <c r="L546" s="47" t="s">
        <v>20</v>
      </c>
    </row>
    <row r="547" spans="1:12">
      <c r="A547" s="47">
        <v>546</v>
      </c>
      <c r="B547" s="47">
        <v>0</v>
      </c>
      <c r="C547" s="47">
        <v>1</v>
      </c>
      <c r="D547" s="47" t="s">
        <v>784</v>
      </c>
      <c r="E547" s="47" t="s">
        <v>13</v>
      </c>
      <c r="F547" s="47">
        <v>64</v>
      </c>
      <c r="G547" s="47">
        <v>0</v>
      </c>
      <c r="H547" s="47">
        <v>0</v>
      </c>
      <c r="I547" s="47">
        <v>693</v>
      </c>
      <c r="J547" s="47">
        <v>26</v>
      </c>
      <c r="L547" s="47" t="s">
        <v>15</v>
      </c>
    </row>
    <row r="548" spans="1:12">
      <c r="A548" s="47">
        <v>547</v>
      </c>
      <c r="B548" s="47">
        <v>1</v>
      </c>
      <c r="C548" s="47">
        <v>2</v>
      </c>
      <c r="D548" s="47" t="s">
        <v>785</v>
      </c>
      <c r="E548" s="47" t="s">
        <v>17</v>
      </c>
      <c r="F548" s="47">
        <v>19</v>
      </c>
      <c r="G548" s="47">
        <v>1</v>
      </c>
      <c r="H548" s="47">
        <v>0</v>
      </c>
      <c r="I548" s="47">
        <v>2908</v>
      </c>
      <c r="J548" s="47">
        <v>26</v>
      </c>
      <c r="L548" s="47" t="s">
        <v>15</v>
      </c>
    </row>
    <row r="549" spans="1:12">
      <c r="A549" s="47">
        <v>548</v>
      </c>
      <c r="B549" s="47">
        <v>1</v>
      </c>
      <c r="C549" s="47">
        <v>2</v>
      </c>
      <c r="D549" s="47" t="s">
        <v>786</v>
      </c>
      <c r="E549" s="47" t="s">
        <v>13</v>
      </c>
      <c r="G549" s="47">
        <v>0</v>
      </c>
      <c r="H549" s="47">
        <v>0</v>
      </c>
      <c r="I549" s="47" t="s">
        <v>787</v>
      </c>
      <c r="J549" s="47">
        <v>13.8625</v>
      </c>
      <c r="L549" s="47" t="s">
        <v>20</v>
      </c>
    </row>
    <row r="550" spans="1:12">
      <c r="A550" s="47">
        <v>549</v>
      </c>
      <c r="B550" s="47">
        <v>0</v>
      </c>
      <c r="C550" s="47">
        <v>3</v>
      </c>
      <c r="D550" s="47" t="s">
        <v>788</v>
      </c>
      <c r="E550" s="47" t="s">
        <v>13</v>
      </c>
      <c r="F550" s="47">
        <v>33</v>
      </c>
      <c r="G550" s="47">
        <v>1</v>
      </c>
      <c r="H550" s="47">
        <v>1</v>
      </c>
      <c r="I550" s="47">
        <v>363291</v>
      </c>
      <c r="J550" s="47">
        <v>20.525</v>
      </c>
      <c r="L550" s="47" t="s">
        <v>15</v>
      </c>
    </row>
    <row r="551" spans="1:12">
      <c r="A551" s="47">
        <v>550</v>
      </c>
      <c r="B551" s="47">
        <v>1</v>
      </c>
      <c r="C551" s="47">
        <v>2</v>
      </c>
      <c r="D551" s="47" t="s">
        <v>789</v>
      </c>
      <c r="E551" s="47" t="s">
        <v>13</v>
      </c>
      <c r="F551" s="47">
        <v>8</v>
      </c>
      <c r="G551" s="47">
        <v>1</v>
      </c>
      <c r="H551" s="47">
        <v>1</v>
      </c>
      <c r="I551" s="47" t="s">
        <v>228</v>
      </c>
      <c r="J551" s="47">
        <v>36.75</v>
      </c>
      <c r="L551" s="47" t="s">
        <v>15</v>
      </c>
    </row>
    <row r="552" spans="1:12">
      <c r="A552" s="47">
        <v>551</v>
      </c>
      <c r="B552" s="47">
        <v>1</v>
      </c>
      <c r="C552" s="47">
        <v>1</v>
      </c>
      <c r="D552" s="47" t="s">
        <v>790</v>
      </c>
      <c r="E552" s="47" t="s">
        <v>13</v>
      </c>
      <c r="F552" s="47">
        <v>17</v>
      </c>
      <c r="G552" s="47">
        <v>0</v>
      </c>
      <c r="H552" s="47">
        <v>2</v>
      </c>
      <c r="I552" s="47">
        <v>17421</v>
      </c>
      <c r="J552" s="47">
        <v>110.8833</v>
      </c>
      <c r="K552" s="47" t="s">
        <v>791</v>
      </c>
      <c r="L552" s="47" t="s">
        <v>20</v>
      </c>
    </row>
    <row r="553" spans="1:12">
      <c r="A553" s="47">
        <v>552</v>
      </c>
      <c r="B553" s="47">
        <v>0</v>
      </c>
      <c r="C553" s="47">
        <v>2</v>
      </c>
      <c r="D553" s="47" t="s">
        <v>792</v>
      </c>
      <c r="E553" s="47" t="s">
        <v>13</v>
      </c>
      <c r="F553" s="47">
        <v>27</v>
      </c>
      <c r="G553" s="47">
        <v>0</v>
      </c>
      <c r="H553" s="47">
        <v>0</v>
      </c>
      <c r="I553" s="47">
        <v>244358</v>
      </c>
      <c r="J553" s="47">
        <v>26</v>
      </c>
      <c r="L553" s="47" t="s">
        <v>15</v>
      </c>
    </row>
    <row r="554" spans="1:12">
      <c r="A554" s="47">
        <v>553</v>
      </c>
      <c r="B554" s="47">
        <v>0</v>
      </c>
      <c r="C554" s="47">
        <v>3</v>
      </c>
      <c r="D554" s="47" t="s">
        <v>793</v>
      </c>
      <c r="E554" s="47" t="s">
        <v>13</v>
      </c>
      <c r="G554" s="47">
        <v>0</v>
      </c>
      <c r="H554" s="47">
        <v>0</v>
      </c>
      <c r="I554" s="47">
        <v>330979</v>
      </c>
      <c r="J554" s="47">
        <v>7.8292</v>
      </c>
      <c r="L554" s="47" t="s">
        <v>27</v>
      </c>
    </row>
    <row r="555" spans="1:12">
      <c r="A555" s="47">
        <v>554</v>
      </c>
      <c r="B555" s="47">
        <v>1</v>
      </c>
      <c r="C555" s="47">
        <v>3</v>
      </c>
      <c r="D555" s="47" t="s">
        <v>794</v>
      </c>
      <c r="E555" s="47" t="s">
        <v>13</v>
      </c>
      <c r="F555" s="47">
        <v>22</v>
      </c>
      <c r="G555" s="47">
        <v>0</v>
      </c>
      <c r="H555" s="47">
        <v>0</v>
      </c>
      <c r="I555" s="47">
        <v>2620</v>
      </c>
      <c r="J555" s="47">
        <v>7.225</v>
      </c>
      <c r="L555" s="47" t="s">
        <v>20</v>
      </c>
    </row>
    <row r="556" spans="1:12">
      <c r="A556" s="47">
        <v>555</v>
      </c>
      <c r="B556" s="47">
        <v>1</v>
      </c>
      <c r="C556" s="47">
        <v>3</v>
      </c>
      <c r="D556" s="47" t="s">
        <v>795</v>
      </c>
      <c r="E556" s="47" t="s">
        <v>17</v>
      </c>
      <c r="F556" s="47">
        <v>22</v>
      </c>
      <c r="G556" s="47">
        <v>0</v>
      </c>
      <c r="H556" s="47">
        <v>0</v>
      </c>
      <c r="I556" s="47">
        <v>347085</v>
      </c>
      <c r="J556" s="47">
        <v>7.775</v>
      </c>
      <c r="L556" s="47" t="s">
        <v>15</v>
      </c>
    </row>
    <row r="557" spans="1:12">
      <c r="A557" s="47">
        <v>556</v>
      </c>
      <c r="B557" s="47">
        <v>0</v>
      </c>
      <c r="C557" s="47">
        <v>1</v>
      </c>
      <c r="D557" s="47" t="s">
        <v>796</v>
      </c>
      <c r="E557" s="47" t="s">
        <v>13</v>
      </c>
      <c r="F557" s="47">
        <v>62</v>
      </c>
      <c r="G557" s="47">
        <v>0</v>
      </c>
      <c r="H557" s="47">
        <v>0</v>
      </c>
      <c r="I557" s="47">
        <v>113807</v>
      </c>
      <c r="J557" s="47">
        <v>26.55</v>
      </c>
      <c r="L557" s="47" t="s">
        <v>15</v>
      </c>
    </row>
    <row r="558" spans="1:12">
      <c r="A558" s="47">
        <v>557</v>
      </c>
      <c r="B558" s="47">
        <v>1</v>
      </c>
      <c r="C558" s="47">
        <v>1</v>
      </c>
      <c r="D558" s="47" t="s">
        <v>797</v>
      </c>
      <c r="E558" s="47" t="s">
        <v>17</v>
      </c>
      <c r="F558" s="47">
        <v>48</v>
      </c>
      <c r="G558" s="47">
        <v>1</v>
      </c>
      <c r="H558" s="47">
        <v>0</v>
      </c>
      <c r="I558" s="47">
        <v>11755</v>
      </c>
      <c r="J558" s="47">
        <v>39.6</v>
      </c>
      <c r="K558" s="47" t="s">
        <v>798</v>
      </c>
      <c r="L558" s="47" t="s">
        <v>20</v>
      </c>
    </row>
    <row r="559" spans="1:12">
      <c r="A559" s="47">
        <v>558</v>
      </c>
      <c r="B559" s="47">
        <v>0</v>
      </c>
      <c r="C559" s="47">
        <v>1</v>
      </c>
      <c r="D559" s="47" t="s">
        <v>799</v>
      </c>
      <c r="E559" s="47" t="s">
        <v>13</v>
      </c>
      <c r="G559" s="47">
        <v>0</v>
      </c>
      <c r="H559" s="47">
        <v>0</v>
      </c>
      <c r="I559" s="47" t="s">
        <v>565</v>
      </c>
      <c r="J559" s="47">
        <v>227.525</v>
      </c>
      <c r="L559" s="47" t="s">
        <v>20</v>
      </c>
    </row>
    <row r="560" spans="1:12">
      <c r="A560" s="47">
        <v>559</v>
      </c>
      <c r="B560" s="47">
        <v>1</v>
      </c>
      <c r="C560" s="47">
        <v>1</v>
      </c>
      <c r="D560" s="47" t="s">
        <v>800</v>
      </c>
      <c r="E560" s="47" t="s">
        <v>17</v>
      </c>
      <c r="F560" s="47">
        <v>39</v>
      </c>
      <c r="G560" s="47">
        <v>1</v>
      </c>
      <c r="H560" s="47">
        <v>1</v>
      </c>
      <c r="I560" s="47">
        <v>110413</v>
      </c>
      <c r="J560" s="47">
        <v>79.65</v>
      </c>
      <c r="K560" s="47" t="s">
        <v>397</v>
      </c>
      <c r="L560" s="47" t="s">
        <v>15</v>
      </c>
    </row>
    <row r="561" spans="1:12">
      <c r="A561" s="47">
        <v>560</v>
      </c>
      <c r="B561" s="47">
        <v>1</v>
      </c>
      <c r="C561" s="47">
        <v>3</v>
      </c>
      <c r="D561" s="47" t="s">
        <v>801</v>
      </c>
      <c r="E561" s="47" t="s">
        <v>17</v>
      </c>
      <c r="F561" s="47">
        <v>36</v>
      </c>
      <c r="G561" s="47">
        <v>1</v>
      </c>
      <c r="H561" s="47">
        <v>0</v>
      </c>
      <c r="I561" s="47">
        <v>345572</v>
      </c>
      <c r="J561" s="47">
        <v>17.4</v>
      </c>
      <c r="L561" s="47" t="s">
        <v>15</v>
      </c>
    </row>
    <row r="562" spans="1:12">
      <c r="A562" s="47">
        <v>561</v>
      </c>
      <c r="B562" s="47">
        <v>0</v>
      </c>
      <c r="C562" s="47">
        <v>3</v>
      </c>
      <c r="D562" s="47" t="s">
        <v>802</v>
      </c>
      <c r="E562" s="47" t="s">
        <v>13</v>
      </c>
      <c r="G562" s="47">
        <v>0</v>
      </c>
      <c r="H562" s="47">
        <v>0</v>
      </c>
      <c r="I562" s="47">
        <v>372622</v>
      </c>
      <c r="J562" s="47">
        <v>7.75</v>
      </c>
      <c r="L562" s="47" t="s">
        <v>27</v>
      </c>
    </row>
    <row r="563" spans="1:12">
      <c r="A563" s="47">
        <v>562</v>
      </c>
      <c r="B563" s="47">
        <v>0</v>
      </c>
      <c r="C563" s="47">
        <v>3</v>
      </c>
      <c r="D563" s="47" t="s">
        <v>803</v>
      </c>
      <c r="E563" s="47" t="s">
        <v>13</v>
      </c>
      <c r="F563" s="47">
        <v>40</v>
      </c>
      <c r="G563" s="47">
        <v>0</v>
      </c>
      <c r="H563" s="47">
        <v>0</v>
      </c>
      <c r="I563" s="47">
        <v>349251</v>
      </c>
      <c r="J563" s="47">
        <v>7.8958</v>
      </c>
      <c r="L563" s="47" t="s">
        <v>15</v>
      </c>
    </row>
    <row r="564" spans="1:12">
      <c r="A564" s="47">
        <v>563</v>
      </c>
      <c r="B564" s="47">
        <v>0</v>
      </c>
      <c r="C564" s="47">
        <v>2</v>
      </c>
      <c r="D564" s="47" t="s">
        <v>804</v>
      </c>
      <c r="E564" s="47" t="s">
        <v>13</v>
      </c>
      <c r="F564" s="47">
        <v>28</v>
      </c>
      <c r="G564" s="47">
        <v>0</v>
      </c>
      <c r="H564" s="47">
        <v>0</v>
      </c>
      <c r="I564" s="47">
        <v>218629</v>
      </c>
      <c r="J564" s="47">
        <v>13.5</v>
      </c>
      <c r="L564" s="47" t="s">
        <v>15</v>
      </c>
    </row>
    <row r="565" spans="1:12">
      <c r="A565" s="47">
        <v>564</v>
      </c>
      <c r="B565" s="47">
        <v>0</v>
      </c>
      <c r="C565" s="47">
        <v>3</v>
      </c>
      <c r="D565" s="47" t="s">
        <v>805</v>
      </c>
      <c r="E565" s="47" t="s">
        <v>13</v>
      </c>
      <c r="G565" s="47">
        <v>0</v>
      </c>
      <c r="H565" s="47">
        <v>0</v>
      </c>
      <c r="I565" s="47" t="s">
        <v>806</v>
      </c>
      <c r="J565" s="47">
        <v>8.05</v>
      </c>
      <c r="L565" s="47" t="s">
        <v>15</v>
      </c>
    </row>
    <row r="566" spans="1:12">
      <c r="A566" s="47">
        <v>565</v>
      </c>
      <c r="B566" s="47">
        <v>0</v>
      </c>
      <c r="C566" s="47">
        <v>3</v>
      </c>
      <c r="D566" s="47" t="s">
        <v>807</v>
      </c>
      <c r="E566" s="47" t="s">
        <v>17</v>
      </c>
      <c r="G566" s="47">
        <v>0</v>
      </c>
      <c r="H566" s="47">
        <v>0</v>
      </c>
      <c r="I566" s="47" t="s">
        <v>808</v>
      </c>
      <c r="J566" s="47">
        <v>8.05</v>
      </c>
      <c r="L566" s="47" t="s">
        <v>15</v>
      </c>
    </row>
    <row r="567" spans="1:12">
      <c r="A567" s="47">
        <v>566</v>
      </c>
      <c r="B567" s="47">
        <v>0</v>
      </c>
      <c r="C567" s="47">
        <v>3</v>
      </c>
      <c r="D567" s="47" t="s">
        <v>809</v>
      </c>
      <c r="E567" s="47" t="s">
        <v>13</v>
      </c>
      <c r="F567" s="47">
        <v>24</v>
      </c>
      <c r="G567" s="47">
        <v>2</v>
      </c>
      <c r="H567" s="47">
        <v>0</v>
      </c>
      <c r="I567" s="47" t="s">
        <v>810</v>
      </c>
      <c r="J567" s="47">
        <v>24.15</v>
      </c>
      <c r="L567" s="47" t="s">
        <v>15</v>
      </c>
    </row>
    <row r="568" spans="1:12">
      <c r="A568" s="47">
        <v>567</v>
      </c>
      <c r="B568" s="47">
        <v>0</v>
      </c>
      <c r="C568" s="47">
        <v>3</v>
      </c>
      <c r="D568" s="47" t="s">
        <v>811</v>
      </c>
      <c r="E568" s="47" t="s">
        <v>13</v>
      </c>
      <c r="F568" s="47">
        <v>19</v>
      </c>
      <c r="G568" s="47">
        <v>0</v>
      </c>
      <c r="H568" s="47">
        <v>0</v>
      </c>
      <c r="I568" s="47">
        <v>349205</v>
      </c>
      <c r="J568" s="47">
        <v>7.8958</v>
      </c>
      <c r="L568" s="47" t="s">
        <v>15</v>
      </c>
    </row>
    <row r="569" spans="1:12">
      <c r="A569" s="47">
        <v>568</v>
      </c>
      <c r="B569" s="47">
        <v>0</v>
      </c>
      <c r="C569" s="47">
        <v>3</v>
      </c>
      <c r="D569" s="47" t="s">
        <v>812</v>
      </c>
      <c r="E569" s="47" t="s">
        <v>17</v>
      </c>
      <c r="F569" s="47">
        <v>29</v>
      </c>
      <c r="G569" s="47">
        <v>0</v>
      </c>
      <c r="H569" s="47">
        <v>4</v>
      </c>
      <c r="I569" s="47">
        <v>349909</v>
      </c>
      <c r="J569" s="47">
        <v>21.075</v>
      </c>
      <c r="L569" s="47" t="s">
        <v>15</v>
      </c>
    </row>
    <row r="570" spans="1:12">
      <c r="A570" s="47">
        <v>569</v>
      </c>
      <c r="B570" s="47">
        <v>0</v>
      </c>
      <c r="C570" s="47">
        <v>3</v>
      </c>
      <c r="D570" s="47" t="s">
        <v>813</v>
      </c>
      <c r="E570" s="47" t="s">
        <v>13</v>
      </c>
      <c r="G570" s="47">
        <v>0</v>
      </c>
      <c r="H570" s="47">
        <v>0</v>
      </c>
      <c r="I570" s="47">
        <v>2686</v>
      </c>
      <c r="J570" s="47">
        <v>7.2292</v>
      </c>
      <c r="L570" s="47" t="s">
        <v>20</v>
      </c>
    </row>
    <row r="571" spans="1:12">
      <c r="A571" s="47">
        <v>570</v>
      </c>
      <c r="B571" s="47">
        <v>1</v>
      </c>
      <c r="C571" s="47">
        <v>3</v>
      </c>
      <c r="D571" s="47" t="s">
        <v>814</v>
      </c>
      <c r="E571" s="47" t="s">
        <v>13</v>
      </c>
      <c r="F571" s="47">
        <v>32</v>
      </c>
      <c r="G571" s="47">
        <v>0</v>
      </c>
      <c r="H571" s="47">
        <v>0</v>
      </c>
      <c r="I571" s="47">
        <v>350417</v>
      </c>
      <c r="J571" s="47">
        <v>7.8542</v>
      </c>
      <c r="L571" s="47" t="s">
        <v>15</v>
      </c>
    </row>
    <row r="572" spans="1:12">
      <c r="A572" s="47">
        <v>571</v>
      </c>
      <c r="B572" s="47">
        <v>1</v>
      </c>
      <c r="C572" s="47">
        <v>2</v>
      </c>
      <c r="D572" s="47" t="s">
        <v>815</v>
      </c>
      <c r="E572" s="47" t="s">
        <v>13</v>
      </c>
      <c r="F572" s="47">
        <v>62</v>
      </c>
      <c r="G572" s="47">
        <v>0</v>
      </c>
      <c r="H572" s="47">
        <v>0</v>
      </c>
      <c r="I572" s="47" t="s">
        <v>816</v>
      </c>
      <c r="J572" s="47">
        <v>10.5</v>
      </c>
      <c r="L572" s="47" t="s">
        <v>15</v>
      </c>
    </row>
    <row r="573" spans="1:12">
      <c r="A573" s="47">
        <v>572</v>
      </c>
      <c r="B573" s="47">
        <v>1</v>
      </c>
      <c r="C573" s="47">
        <v>1</v>
      </c>
      <c r="D573" s="47" t="s">
        <v>817</v>
      </c>
      <c r="E573" s="47" t="s">
        <v>17</v>
      </c>
      <c r="F573" s="47">
        <v>53</v>
      </c>
      <c r="G573" s="47">
        <v>2</v>
      </c>
      <c r="H573" s="47">
        <v>0</v>
      </c>
      <c r="I573" s="47">
        <v>11769</v>
      </c>
      <c r="J573" s="47">
        <v>51.4792</v>
      </c>
      <c r="K573" s="47" t="s">
        <v>818</v>
      </c>
      <c r="L573" s="47" t="s">
        <v>15</v>
      </c>
    </row>
    <row r="574" spans="1:12">
      <c r="A574" s="47">
        <v>573</v>
      </c>
      <c r="B574" s="47">
        <v>1</v>
      </c>
      <c r="C574" s="47">
        <v>1</v>
      </c>
      <c r="D574" s="47" t="s">
        <v>819</v>
      </c>
      <c r="E574" s="47" t="s">
        <v>13</v>
      </c>
      <c r="F574" s="47">
        <v>36</v>
      </c>
      <c r="G574" s="47">
        <v>0</v>
      </c>
      <c r="H574" s="47">
        <v>0</v>
      </c>
      <c r="I574" s="47" t="s">
        <v>820</v>
      </c>
      <c r="J574" s="47">
        <v>26.3875</v>
      </c>
      <c r="K574" s="47" t="s">
        <v>738</v>
      </c>
      <c r="L574" s="47" t="s">
        <v>15</v>
      </c>
    </row>
    <row r="575" spans="1:12">
      <c r="A575" s="47">
        <v>574</v>
      </c>
      <c r="B575" s="47">
        <v>1</v>
      </c>
      <c r="C575" s="47">
        <v>3</v>
      </c>
      <c r="D575" s="47" t="s">
        <v>821</v>
      </c>
      <c r="E575" s="47" t="s">
        <v>17</v>
      </c>
      <c r="G575" s="47">
        <v>0</v>
      </c>
      <c r="H575" s="47">
        <v>0</v>
      </c>
      <c r="I575" s="47">
        <v>14312</v>
      </c>
      <c r="J575" s="47">
        <v>7.75</v>
      </c>
      <c r="L575" s="47" t="s">
        <v>27</v>
      </c>
    </row>
    <row r="576" spans="1:12">
      <c r="A576" s="47">
        <v>575</v>
      </c>
      <c r="B576" s="47">
        <v>0</v>
      </c>
      <c r="C576" s="47">
        <v>3</v>
      </c>
      <c r="D576" s="47" t="s">
        <v>822</v>
      </c>
      <c r="E576" s="47" t="s">
        <v>13</v>
      </c>
      <c r="F576" s="47">
        <v>16</v>
      </c>
      <c r="G576" s="47">
        <v>0</v>
      </c>
      <c r="H576" s="47">
        <v>0</v>
      </c>
      <c r="I576" s="47" t="s">
        <v>823</v>
      </c>
      <c r="J576" s="47">
        <v>8.05</v>
      </c>
      <c r="L576" s="47" t="s">
        <v>15</v>
      </c>
    </row>
    <row r="577" spans="1:12">
      <c r="A577" s="47">
        <v>576</v>
      </c>
      <c r="B577" s="47">
        <v>0</v>
      </c>
      <c r="C577" s="47">
        <v>3</v>
      </c>
      <c r="D577" s="47" t="s">
        <v>824</v>
      </c>
      <c r="E577" s="47" t="s">
        <v>13</v>
      </c>
      <c r="F577" s="47">
        <v>19</v>
      </c>
      <c r="G577" s="47">
        <v>0</v>
      </c>
      <c r="H577" s="47">
        <v>0</v>
      </c>
      <c r="I577" s="47">
        <v>358585</v>
      </c>
      <c r="J577" s="47">
        <v>14.5</v>
      </c>
      <c r="L577" s="47" t="s">
        <v>15</v>
      </c>
    </row>
    <row r="578" spans="1:12">
      <c r="A578" s="47">
        <v>577</v>
      </c>
      <c r="B578" s="47">
        <v>1</v>
      </c>
      <c r="C578" s="47">
        <v>2</v>
      </c>
      <c r="D578" s="47" t="s">
        <v>825</v>
      </c>
      <c r="E578" s="47" t="s">
        <v>17</v>
      </c>
      <c r="F578" s="47">
        <v>34</v>
      </c>
      <c r="G578" s="47">
        <v>0</v>
      </c>
      <c r="H578" s="47">
        <v>0</v>
      </c>
      <c r="I578" s="47">
        <v>243880</v>
      </c>
      <c r="J578" s="47">
        <v>13</v>
      </c>
      <c r="L578" s="47" t="s">
        <v>15</v>
      </c>
    </row>
    <row r="579" spans="1:12">
      <c r="A579" s="47">
        <v>578</v>
      </c>
      <c r="B579" s="47">
        <v>1</v>
      </c>
      <c r="C579" s="47">
        <v>1</v>
      </c>
      <c r="D579" s="47" t="s">
        <v>826</v>
      </c>
      <c r="E579" s="47" t="s">
        <v>17</v>
      </c>
      <c r="F579" s="47">
        <v>39</v>
      </c>
      <c r="G579" s="47">
        <v>1</v>
      </c>
      <c r="H579" s="47">
        <v>0</v>
      </c>
      <c r="I579" s="47">
        <v>13507</v>
      </c>
      <c r="J579" s="47">
        <v>55.9</v>
      </c>
      <c r="K579" s="47" t="s">
        <v>631</v>
      </c>
      <c r="L579" s="47" t="s">
        <v>15</v>
      </c>
    </row>
    <row r="580" spans="1:12">
      <c r="A580" s="47">
        <v>579</v>
      </c>
      <c r="B580" s="47">
        <v>0</v>
      </c>
      <c r="C580" s="47">
        <v>3</v>
      </c>
      <c r="D580" s="47" t="s">
        <v>827</v>
      </c>
      <c r="E580" s="47" t="s">
        <v>17</v>
      </c>
      <c r="G580" s="47">
        <v>1</v>
      </c>
      <c r="H580" s="47">
        <v>0</v>
      </c>
      <c r="I580" s="47">
        <v>2689</v>
      </c>
      <c r="J580" s="47">
        <v>14.4583</v>
      </c>
      <c r="L580" s="47" t="s">
        <v>20</v>
      </c>
    </row>
    <row r="581" spans="1:12">
      <c r="A581" s="47">
        <v>580</v>
      </c>
      <c r="B581" s="47">
        <v>1</v>
      </c>
      <c r="C581" s="47">
        <v>3</v>
      </c>
      <c r="D581" s="47" t="s">
        <v>828</v>
      </c>
      <c r="E581" s="47" t="s">
        <v>13</v>
      </c>
      <c r="F581" s="47">
        <v>32</v>
      </c>
      <c r="G581" s="47">
        <v>0</v>
      </c>
      <c r="H581" s="47">
        <v>0</v>
      </c>
      <c r="I581" s="47" t="s">
        <v>829</v>
      </c>
      <c r="J581" s="47">
        <v>7.925</v>
      </c>
      <c r="L581" s="47" t="s">
        <v>15</v>
      </c>
    </row>
    <row r="582" spans="1:12">
      <c r="A582" s="47">
        <v>581</v>
      </c>
      <c r="B582" s="47">
        <v>1</v>
      </c>
      <c r="C582" s="47">
        <v>2</v>
      </c>
      <c r="D582" s="47" t="s">
        <v>830</v>
      </c>
      <c r="E582" s="47" t="s">
        <v>17</v>
      </c>
      <c r="F582" s="47">
        <v>25</v>
      </c>
      <c r="G582" s="47">
        <v>1</v>
      </c>
      <c r="H582" s="47">
        <v>1</v>
      </c>
      <c r="I582" s="47">
        <v>237789</v>
      </c>
      <c r="J582" s="47">
        <v>30</v>
      </c>
      <c r="L582" s="47" t="s">
        <v>15</v>
      </c>
    </row>
    <row r="583" spans="1:12">
      <c r="A583" s="47">
        <v>582</v>
      </c>
      <c r="B583" s="47">
        <v>1</v>
      </c>
      <c r="C583" s="47">
        <v>1</v>
      </c>
      <c r="D583" s="47" t="s">
        <v>831</v>
      </c>
      <c r="E583" s="47" t="s">
        <v>17</v>
      </c>
      <c r="F583" s="47">
        <v>39</v>
      </c>
      <c r="G583" s="47">
        <v>1</v>
      </c>
      <c r="H583" s="47">
        <v>1</v>
      </c>
      <c r="I583" s="47">
        <v>17421</v>
      </c>
      <c r="J583" s="47">
        <v>110.8833</v>
      </c>
      <c r="K583" s="47" t="s">
        <v>832</v>
      </c>
      <c r="L583" s="47" t="s">
        <v>20</v>
      </c>
    </row>
    <row r="584" spans="1:12">
      <c r="A584" s="47">
        <v>583</v>
      </c>
      <c r="B584" s="47">
        <v>0</v>
      </c>
      <c r="C584" s="47">
        <v>2</v>
      </c>
      <c r="D584" s="47" t="s">
        <v>833</v>
      </c>
      <c r="E584" s="47" t="s">
        <v>13</v>
      </c>
      <c r="F584" s="47">
        <v>54</v>
      </c>
      <c r="G584" s="47">
        <v>0</v>
      </c>
      <c r="H584" s="47">
        <v>0</v>
      </c>
      <c r="I584" s="47">
        <v>28403</v>
      </c>
      <c r="J584" s="47">
        <v>26</v>
      </c>
      <c r="L584" s="47" t="s">
        <v>15</v>
      </c>
    </row>
    <row r="585" spans="1:12">
      <c r="A585" s="47">
        <v>584</v>
      </c>
      <c r="B585" s="47">
        <v>0</v>
      </c>
      <c r="C585" s="47">
        <v>1</v>
      </c>
      <c r="D585" s="47" t="s">
        <v>834</v>
      </c>
      <c r="E585" s="47" t="s">
        <v>13</v>
      </c>
      <c r="F585" s="47">
        <v>36</v>
      </c>
      <c r="G585" s="47">
        <v>0</v>
      </c>
      <c r="H585" s="47">
        <v>0</v>
      </c>
      <c r="I585" s="47">
        <v>13049</v>
      </c>
      <c r="J585" s="47">
        <v>40.125</v>
      </c>
      <c r="K585" s="47" t="s">
        <v>835</v>
      </c>
      <c r="L585" s="47" t="s">
        <v>20</v>
      </c>
    </row>
    <row r="586" spans="1:12">
      <c r="A586" s="47">
        <v>585</v>
      </c>
      <c r="B586" s="47">
        <v>0</v>
      </c>
      <c r="C586" s="47">
        <v>3</v>
      </c>
      <c r="D586" s="47" t="s">
        <v>836</v>
      </c>
      <c r="E586" s="47" t="s">
        <v>13</v>
      </c>
      <c r="G586" s="47">
        <v>0</v>
      </c>
      <c r="H586" s="47">
        <v>0</v>
      </c>
      <c r="I586" s="47">
        <v>3411</v>
      </c>
      <c r="J586" s="47">
        <v>8.7125</v>
      </c>
      <c r="L586" s="47" t="s">
        <v>20</v>
      </c>
    </row>
    <row r="587" spans="1:12">
      <c r="A587" s="47">
        <v>586</v>
      </c>
      <c r="B587" s="47">
        <v>1</v>
      </c>
      <c r="C587" s="47">
        <v>1</v>
      </c>
      <c r="D587" s="47" t="s">
        <v>837</v>
      </c>
      <c r="E587" s="47" t="s">
        <v>17</v>
      </c>
      <c r="F587" s="47">
        <v>18</v>
      </c>
      <c r="G587" s="47">
        <v>0</v>
      </c>
      <c r="H587" s="47">
        <v>2</v>
      </c>
      <c r="I587" s="47">
        <v>110413</v>
      </c>
      <c r="J587" s="47">
        <v>79.65</v>
      </c>
      <c r="K587" s="47" t="s">
        <v>838</v>
      </c>
      <c r="L587" s="47" t="s">
        <v>15</v>
      </c>
    </row>
    <row r="588" spans="1:12">
      <c r="A588" s="47">
        <v>587</v>
      </c>
      <c r="B588" s="47">
        <v>0</v>
      </c>
      <c r="C588" s="47">
        <v>2</v>
      </c>
      <c r="D588" s="47" t="s">
        <v>839</v>
      </c>
      <c r="E588" s="47" t="s">
        <v>13</v>
      </c>
      <c r="F588" s="47">
        <v>47</v>
      </c>
      <c r="G588" s="47">
        <v>0</v>
      </c>
      <c r="H588" s="47">
        <v>0</v>
      </c>
      <c r="I588" s="47">
        <v>237565</v>
      </c>
      <c r="J588" s="47">
        <v>15</v>
      </c>
      <c r="L588" s="47" t="s">
        <v>15</v>
      </c>
    </row>
    <row r="589" spans="1:12">
      <c r="A589" s="47">
        <v>588</v>
      </c>
      <c r="B589" s="47">
        <v>1</v>
      </c>
      <c r="C589" s="47">
        <v>1</v>
      </c>
      <c r="D589" s="47" t="s">
        <v>840</v>
      </c>
      <c r="E589" s="47" t="s">
        <v>13</v>
      </c>
      <c r="F589" s="47">
        <v>60</v>
      </c>
      <c r="G589" s="47">
        <v>1</v>
      </c>
      <c r="H589" s="47">
        <v>1</v>
      </c>
      <c r="I589" s="47">
        <v>13567</v>
      </c>
      <c r="J589" s="47">
        <v>79.2</v>
      </c>
      <c r="K589" s="47" t="s">
        <v>841</v>
      </c>
      <c r="L589" s="47" t="s">
        <v>20</v>
      </c>
    </row>
    <row r="590" spans="1:12">
      <c r="A590" s="47">
        <v>589</v>
      </c>
      <c r="B590" s="47">
        <v>0</v>
      </c>
      <c r="C590" s="47">
        <v>3</v>
      </c>
      <c r="D590" s="47" t="s">
        <v>842</v>
      </c>
      <c r="E590" s="47" t="s">
        <v>13</v>
      </c>
      <c r="F590" s="47">
        <v>22</v>
      </c>
      <c r="G590" s="47">
        <v>0</v>
      </c>
      <c r="H590" s="47">
        <v>0</v>
      </c>
      <c r="I590" s="47">
        <v>14973</v>
      </c>
      <c r="J590" s="47">
        <v>8.05</v>
      </c>
      <c r="L590" s="47" t="s">
        <v>15</v>
      </c>
    </row>
    <row r="591" spans="1:12">
      <c r="A591" s="47">
        <v>590</v>
      </c>
      <c r="B591" s="47">
        <v>0</v>
      </c>
      <c r="C591" s="47">
        <v>3</v>
      </c>
      <c r="D591" s="47" t="s">
        <v>843</v>
      </c>
      <c r="E591" s="47" t="s">
        <v>13</v>
      </c>
      <c r="G591" s="47">
        <v>0</v>
      </c>
      <c r="H591" s="47">
        <v>0</v>
      </c>
      <c r="I591" s="47" t="s">
        <v>844</v>
      </c>
      <c r="J591" s="47">
        <v>8.05</v>
      </c>
      <c r="L591" s="47" t="s">
        <v>15</v>
      </c>
    </row>
    <row r="592" spans="1:12">
      <c r="A592" s="47">
        <v>591</v>
      </c>
      <c r="B592" s="47">
        <v>0</v>
      </c>
      <c r="C592" s="47">
        <v>3</v>
      </c>
      <c r="D592" s="47" t="s">
        <v>845</v>
      </c>
      <c r="E592" s="47" t="s">
        <v>13</v>
      </c>
      <c r="F592" s="47">
        <v>35</v>
      </c>
      <c r="G592" s="47">
        <v>0</v>
      </c>
      <c r="H592" s="47">
        <v>0</v>
      </c>
      <c r="I592" s="47" t="s">
        <v>846</v>
      </c>
      <c r="J592" s="47">
        <v>7.125</v>
      </c>
      <c r="L592" s="47" t="s">
        <v>15</v>
      </c>
    </row>
    <row r="593" spans="1:12">
      <c r="A593" s="47">
        <v>592</v>
      </c>
      <c r="B593" s="47">
        <v>1</v>
      </c>
      <c r="C593" s="47">
        <v>1</v>
      </c>
      <c r="D593" s="47" t="s">
        <v>847</v>
      </c>
      <c r="E593" s="47" t="s">
        <v>17</v>
      </c>
      <c r="F593" s="47">
        <v>52</v>
      </c>
      <c r="G593" s="47">
        <v>1</v>
      </c>
      <c r="H593" s="47">
        <v>0</v>
      </c>
      <c r="I593" s="47">
        <v>36947</v>
      </c>
      <c r="J593" s="47">
        <v>78.2667</v>
      </c>
      <c r="K593" s="47" t="s">
        <v>716</v>
      </c>
      <c r="L593" s="47" t="s">
        <v>20</v>
      </c>
    </row>
    <row r="594" spans="1:12">
      <c r="A594" s="47">
        <v>593</v>
      </c>
      <c r="B594" s="47">
        <v>0</v>
      </c>
      <c r="C594" s="47">
        <v>3</v>
      </c>
      <c r="D594" s="47" t="s">
        <v>848</v>
      </c>
      <c r="E594" s="47" t="s">
        <v>13</v>
      </c>
      <c r="F594" s="47">
        <v>47</v>
      </c>
      <c r="G594" s="47">
        <v>0</v>
      </c>
      <c r="H594" s="47">
        <v>0</v>
      </c>
      <c r="I594" s="47" t="s">
        <v>849</v>
      </c>
      <c r="J594" s="47">
        <v>7.25</v>
      </c>
      <c r="L594" s="47" t="s">
        <v>15</v>
      </c>
    </row>
    <row r="595" spans="1:12">
      <c r="A595" s="47">
        <v>594</v>
      </c>
      <c r="B595" s="47">
        <v>0</v>
      </c>
      <c r="C595" s="47">
        <v>3</v>
      </c>
      <c r="D595" s="47" t="s">
        <v>850</v>
      </c>
      <c r="E595" s="47" t="s">
        <v>17</v>
      </c>
      <c r="G595" s="47">
        <v>0</v>
      </c>
      <c r="H595" s="47">
        <v>2</v>
      </c>
      <c r="I595" s="47">
        <v>364848</v>
      </c>
      <c r="J595" s="47">
        <v>7.75</v>
      </c>
      <c r="L595" s="47" t="s">
        <v>27</v>
      </c>
    </row>
    <row r="596" spans="1:12">
      <c r="A596" s="47">
        <v>595</v>
      </c>
      <c r="B596" s="47">
        <v>0</v>
      </c>
      <c r="C596" s="47">
        <v>2</v>
      </c>
      <c r="D596" s="47" t="s">
        <v>851</v>
      </c>
      <c r="E596" s="47" t="s">
        <v>13</v>
      </c>
      <c r="F596" s="47">
        <v>37</v>
      </c>
      <c r="G596" s="47">
        <v>1</v>
      </c>
      <c r="H596" s="47">
        <v>0</v>
      </c>
      <c r="I596" s="47" t="s">
        <v>852</v>
      </c>
      <c r="J596" s="47">
        <v>26</v>
      </c>
      <c r="L596" s="47" t="s">
        <v>15</v>
      </c>
    </row>
    <row r="597" spans="1:12">
      <c r="A597" s="47">
        <v>596</v>
      </c>
      <c r="B597" s="47">
        <v>0</v>
      </c>
      <c r="C597" s="47">
        <v>3</v>
      </c>
      <c r="D597" s="47" t="s">
        <v>853</v>
      </c>
      <c r="E597" s="47" t="s">
        <v>13</v>
      </c>
      <c r="F597" s="47">
        <v>36</v>
      </c>
      <c r="G597" s="47">
        <v>1</v>
      </c>
      <c r="H597" s="47">
        <v>1</v>
      </c>
      <c r="I597" s="47">
        <v>345773</v>
      </c>
      <c r="J597" s="47">
        <v>24.15</v>
      </c>
      <c r="L597" s="47" t="s">
        <v>15</v>
      </c>
    </row>
    <row r="598" spans="1:12">
      <c r="A598" s="47">
        <v>597</v>
      </c>
      <c r="B598" s="47">
        <v>1</v>
      </c>
      <c r="C598" s="47">
        <v>2</v>
      </c>
      <c r="D598" s="47" t="s">
        <v>854</v>
      </c>
      <c r="E598" s="47" t="s">
        <v>17</v>
      </c>
      <c r="G598" s="47">
        <v>0</v>
      </c>
      <c r="H598" s="47">
        <v>0</v>
      </c>
      <c r="I598" s="47">
        <v>248727</v>
      </c>
      <c r="J598" s="47">
        <v>33</v>
      </c>
      <c r="L598" s="47" t="s">
        <v>15</v>
      </c>
    </row>
    <row r="599" spans="1:12">
      <c r="A599" s="47">
        <v>598</v>
      </c>
      <c r="B599" s="47">
        <v>0</v>
      </c>
      <c r="C599" s="47">
        <v>3</v>
      </c>
      <c r="D599" s="47" t="s">
        <v>855</v>
      </c>
      <c r="E599" s="47" t="s">
        <v>13</v>
      </c>
      <c r="F599" s="47">
        <v>49</v>
      </c>
      <c r="G599" s="47">
        <v>0</v>
      </c>
      <c r="H599" s="47">
        <v>0</v>
      </c>
      <c r="I599" s="47" t="s">
        <v>280</v>
      </c>
      <c r="J599" s="47">
        <v>0</v>
      </c>
      <c r="L599" s="47" t="s">
        <v>15</v>
      </c>
    </row>
    <row r="600" spans="1:12">
      <c r="A600" s="47">
        <v>599</v>
      </c>
      <c r="B600" s="47">
        <v>0</v>
      </c>
      <c r="C600" s="47">
        <v>3</v>
      </c>
      <c r="D600" s="47" t="s">
        <v>856</v>
      </c>
      <c r="E600" s="47" t="s">
        <v>13</v>
      </c>
      <c r="G600" s="47">
        <v>0</v>
      </c>
      <c r="H600" s="47">
        <v>0</v>
      </c>
      <c r="I600" s="47">
        <v>2664</v>
      </c>
      <c r="J600" s="47">
        <v>7.225</v>
      </c>
      <c r="L600" s="47" t="s">
        <v>20</v>
      </c>
    </row>
    <row r="601" spans="1:12">
      <c r="A601" s="47">
        <v>600</v>
      </c>
      <c r="B601" s="47">
        <v>1</v>
      </c>
      <c r="C601" s="47">
        <v>1</v>
      </c>
      <c r="D601" s="47" t="s">
        <v>857</v>
      </c>
      <c r="E601" s="47" t="s">
        <v>13</v>
      </c>
      <c r="F601" s="47">
        <v>49</v>
      </c>
      <c r="G601" s="47">
        <v>1</v>
      </c>
      <c r="H601" s="47">
        <v>0</v>
      </c>
      <c r="I601" s="47" t="s">
        <v>467</v>
      </c>
      <c r="J601" s="47">
        <v>56.9292</v>
      </c>
      <c r="K601" s="47" t="s">
        <v>858</v>
      </c>
      <c r="L601" s="47" t="s">
        <v>20</v>
      </c>
    </row>
    <row r="602" spans="1:12">
      <c r="A602" s="47">
        <v>601</v>
      </c>
      <c r="B602" s="47">
        <v>1</v>
      </c>
      <c r="C602" s="47">
        <v>2</v>
      </c>
      <c r="D602" s="47" t="s">
        <v>859</v>
      </c>
      <c r="E602" s="47" t="s">
        <v>17</v>
      </c>
      <c r="F602" s="47">
        <v>24</v>
      </c>
      <c r="G602" s="47">
        <v>2</v>
      </c>
      <c r="H602" s="47">
        <v>1</v>
      </c>
      <c r="I602" s="47">
        <v>243847</v>
      </c>
      <c r="J602" s="47">
        <v>27</v>
      </c>
      <c r="L602" s="47" t="s">
        <v>15</v>
      </c>
    </row>
    <row r="603" spans="1:12">
      <c r="A603" s="47">
        <v>602</v>
      </c>
      <c r="B603" s="47">
        <v>0</v>
      </c>
      <c r="C603" s="47">
        <v>3</v>
      </c>
      <c r="D603" s="47" t="s">
        <v>860</v>
      </c>
      <c r="E603" s="47" t="s">
        <v>13</v>
      </c>
      <c r="G603" s="47">
        <v>0</v>
      </c>
      <c r="H603" s="47">
        <v>0</v>
      </c>
      <c r="I603" s="47">
        <v>349214</v>
      </c>
      <c r="J603" s="47">
        <v>7.8958</v>
      </c>
      <c r="L603" s="47" t="s">
        <v>15</v>
      </c>
    </row>
    <row r="604" spans="1:12">
      <c r="A604" s="47">
        <v>603</v>
      </c>
      <c r="B604" s="47">
        <v>0</v>
      </c>
      <c r="C604" s="47">
        <v>1</v>
      </c>
      <c r="D604" s="47" t="s">
        <v>861</v>
      </c>
      <c r="E604" s="47" t="s">
        <v>13</v>
      </c>
      <c r="G604" s="47">
        <v>0</v>
      </c>
      <c r="H604" s="47">
        <v>0</v>
      </c>
      <c r="I604" s="47">
        <v>113796</v>
      </c>
      <c r="J604" s="47">
        <v>42.4</v>
      </c>
      <c r="L604" s="47" t="s">
        <v>15</v>
      </c>
    </row>
    <row r="605" spans="1:12">
      <c r="A605" s="47">
        <v>604</v>
      </c>
      <c r="B605" s="47">
        <v>0</v>
      </c>
      <c r="C605" s="47">
        <v>3</v>
      </c>
      <c r="D605" s="47" t="s">
        <v>862</v>
      </c>
      <c r="E605" s="47" t="s">
        <v>13</v>
      </c>
      <c r="F605" s="47">
        <v>44</v>
      </c>
      <c r="G605" s="47">
        <v>0</v>
      </c>
      <c r="H605" s="47">
        <v>0</v>
      </c>
      <c r="I605" s="47">
        <v>364511</v>
      </c>
      <c r="J605" s="47">
        <v>8.05</v>
      </c>
      <c r="L605" s="47" t="s">
        <v>15</v>
      </c>
    </row>
    <row r="606" spans="1:12">
      <c r="A606" s="47">
        <v>605</v>
      </c>
      <c r="B606" s="47">
        <v>1</v>
      </c>
      <c r="C606" s="47">
        <v>1</v>
      </c>
      <c r="D606" s="47" t="s">
        <v>863</v>
      </c>
      <c r="E606" s="47" t="s">
        <v>13</v>
      </c>
      <c r="F606" s="47">
        <v>35</v>
      </c>
      <c r="G606" s="47">
        <v>0</v>
      </c>
      <c r="H606" s="47">
        <v>0</v>
      </c>
      <c r="I606" s="47">
        <v>111426</v>
      </c>
      <c r="J606" s="47">
        <v>26.55</v>
      </c>
      <c r="L606" s="47" t="s">
        <v>20</v>
      </c>
    </row>
    <row r="607" spans="1:12">
      <c r="A607" s="47">
        <v>606</v>
      </c>
      <c r="B607" s="47">
        <v>0</v>
      </c>
      <c r="C607" s="47">
        <v>3</v>
      </c>
      <c r="D607" s="47" t="s">
        <v>864</v>
      </c>
      <c r="E607" s="47" t="s">
        <v>13</v>
      </c>
      <c r="F607" s="47">
        <v>36</v>
      </c>
      <c r="G607" s="47">
        <v>1</v>
      </c>
      <c r="H607" s="47">
        <v>0</v>
      </c>
      <c r="I607" s="47">
        <v>349910</v>
      </c>
      <c r="J607" s="47">
        <v>15.55</v>
      </c>
      <c r="L607" s="47" t="s">
        <v>15</v>
      </c>
    </row>
    <row r="608" spans="1:12">
      <c r="A608" s="47">
        <v>607</v>
      </c>
      <c r="B608" s="47">
        <v>0</v>
      </c>
      <c r="C608" s="47">
        <v>3</v>
      </c>
      <c r="D608" s="47" t="s">
        <v>865</v>
      </c>
      <c r="E608" s="47" t="s">
        <v>13</v>
      </c>
      <c r="F608" s="47">
        <v>30</v>
      </c>
      <c r="G608" s="47">
        <v>0</v>
      </c>
      <c r="H608" s="47">
        <v>0</v>
      </c>
      <c r="I608" s="47">
        <v>349246</v>
      </c>
      <c r="J608" s="47">
        <v>7.8958</v>
      </c>
      <c r="L608" s="47" t="s">
        <v>15</v>
      </c>
    </row>
    <row r="609" spans="1:12">
      <c r="A609" s="47">
        <v>608</v>
      </c>
      <c r="B609" s="47">
        <v>1</v>
      </c>
      <c r="C609" s="47">
        <v>1</v>
      </c>
      <c r="D609" s="47" t="s">
        <v>866</v>
      </c>
      <c r="E609" s="47" t="s">
        <v>13</v>
      </c>
      <c r="F609" s="47">
        <v>27</v>
      </c>
      <c r="G609" s="47">
        <v>0</v>
      </c>
      <c r="H609" s="47">
        <v>0</v>
      </c>
      <c r="I609" s="47">
        <v>113804</v>
      </c>
      <c r="J609" s="47">
        <v>30.5</v>
      </c>
      <c r="L609" s="47" t="s">
        <v>15</v>
      </c>
    </row>
    <row r="610" spans="1:12">
      <c r="A610" s="47">
        <v>609</v>
      </c>
      <c r="B610" s="47">
        <v>1</v>
      </c>
      <c r="C610" s="47">
        <v>2</v>
      </c>
      <c r="D610" s="47" t="s">
        <v>867</v>
      </c>
      <c r="E610" s="47" t="s">
        <v>17</v>
      </c>
      <c r="F610" s="47">
        <v>22</v>
      </c>
      <c r="G610" s="47">
        <v>1</v>
      </c>
      <c r="H610" s="47">
        <v>2</v>
      </c>
      <c r="I610" s="47" t="s">
        <v>80</v>
      </c>
      <c r="J610" s="47">
        <v>41.5792</v>
      </c>
      <c r="L610" s="47" t="s">
        <v>20</v>
      </c>
    </row>
    <row r="611" spans="1:12">
      <c r="A611" s="47">
        <v>610</v>
      </c>
      <c r="B611" s="47">
        <v>1</v>
      </c>
      <c r="C611" s="47">
        <v>1</v>
      </c>
      <c r="D611" s="47" t="s">
        <v>868</v>
      </c>
      <c r="E611" s="47" t="s">
        <v>17</v>
      </c>
      <c r="F611" s="47">
        <v>40</v>
      </c>
      <c r="G611" s="47">
        <v>0</v>
      </c>
      <c r="H611" s="47">
        <v>0</v>
      </c>
      <c r="I611" s="47" t="s">
        <v>406</v>
      </c>
      <c r="J611" s="47">
        <v>153.4625</v>
      </c>
      <c r="K611" s="47" t="s">
        <v>407</v>
      </c>
      <c r="L611" s="47" t="s">
        <v>15</v>
      </c>
    </row>
    <row r="612" spans="1:12">
      <c r="A612" s="47">
        <v>611</v>
      </c>
      <c r="B612" s="47">
        <v>0</v>
      </c>
      <c r="C612" s="47">
        <v>3</v>
      </c>
      <c r="D612" s="47" t="s">
        <v>869</v>
      </c>
      <c r="E612" s="47" t="s">
        <v>17</v>
      </c>
      <c r="F612" s="47">
        <v>39</v>
      </c>
      <c r="G612" s="47">
        <v>1</v>
      </c>
      <c r="H612" s="47">
        <v>5</v>
      </c>
      <c r="I612" s="47">
        <v>347082</v>
      </c>
      <c r="J612" s="47">
        <v>31.275</v>
      </c>
      <c r="L612" s="47" t="s">
        <v>15</v>
      </c>
    </row>
    <row r="613" spans="1:12">
      <c r="A613" s="47">
        <v>612</v>
      </c>
      <c r="B613" s="47">
        <v>0</v>
      </c>
      <c r="C613" s="47">
        <v>3</v>
      </c>
      <c r="D613" s="47" t="s">
        <v>870</v>
      </c>
      <c r="E613" s="47" t="s">
        <v>13</v>
      </c>
      <c r="G613" s="47">
        <v>0</v>
      </c>
      <c r="H613" s="47">
        <v>0</v>
      </c>
      <c r="I613" s="47" t="s">
        <v>871</v>
      </c>
      <c r="J613" s="47">
        <v>7.05</v>
      </c>
      <c r="L613" s="47" t="s">
        <v>15</v>
      </c>
    </row>
    <row r="614" spans="1:12">
      <c r="A614" s="47">
        <v>613</v>
      </c>
      <c r="B614" s="47">
        <v>1</v>
      </c>
      <c r="C614" s="47">
        <v>3</v>
      </c>
      <c r="D614" s="47" t="s">
        <v>872</v>
      </c>
      <c r="E614" s="47" t="s">
        <v>17</v>
      </c>
      <c r="G614" s="47">
        <v>1</v>
      </c>
      <c r="H614" s="47">
        <v>0</v>
      </c>
      <c r="I614" s="47">
        <v>367230</v>
      </c>
      <c r="J614" s="47">
        <v>15.5</v>
      </c>
      <c r="L614" s="47" t="s">
        <v>27</v>
      </c>
    </row>
    <row r="615" spans="1:12">
      <c r="A615" s="47">
        <v>614</v>
      </c>
      <c r="B615" s="47">
        <v>0</v>
      </c>
      <c r="C615" s="47">
        <v>3</v>
      </c>
      <c r="D615" s="47" t="s">
        <v>873</v>
      </c>
      <c r="E615" s="47" t="s">
        <v>13</v>
      </c>
      <c r="G615" s="47">
        <v>0</v>
      </c>
      <c r="H615" s="47">
        <v>0</v>
      </c>
      <c r="I615" s="47">
        <v>370377</v>
      </c>
      <c r="J615" s="47">
        <v>7.75</v>
      </c>
      <c r="L615" s="47" t="s">
        <v>27</v>
      </c>
    </row>
    <row r="616" spans="1:12">
      <c r="A616" s="47">
        <v>615</v>
      </c>
      <c r="B616" s="47">
        <v>0</v>
      </c>
      <c r="C616" s="47">
        <v>3</v>
      </c>
      <c r="D616" s="47" t="s">
        <v>874</v>
      </c>
      <c r="E616" s="47" t="s">
        <v>13</v>
      </c>
      <c r="F616" s="47">
        <v>35</v>
      </c>
      <c r="G616" s="47">
        <v>0</v>
      </c>
      <c r="H616" s="47">
        <v>0</v>
      </c>
      <c r="I616" s="47">
        <v>364512</v>
      </c>
      <c r="J616" s="47">
        <v>8.05</v>
      </c>
      <c r="L616" s="47" t="s">
        <v>15</v>
      </c>
    </row>
    <row r="617" spans="1:12">
      <c r="A617" s="47">
        <v>616</v>
      </c>
      <c r="B617" s="47">
        <v>1</v>
      </c>
      <c r="C617" s="47">
        <v>2</v>
      </c>
      <c r="D617" s="47" t="s">
        <v>875</v>
      </c>
      <c r="E617" s="47" t="s">
        <v>17</v>
      </c>
      <c r="F617" s="47">
        <v>24</v>
      </c>
      <c r="G617" s="47">
        <v>1</v>
      </c>
      <c r="H617" s="47">
        <v>2</v>
      </c>
      <c r="I617" s="47">
        <v>220845</v>
      </c>
      <c r="J617" s="47">
        <v>65</v>
      </c>
      <c r="L617" s="47" t="s">
        <v>15</v>
      </c>
    </row>
    <row r="618" spans="1:12">
      <c r="A618" s="47">
        <v>617</v>
      </c>
      <c r="B618" s="47">
        <v>0</v>
      </c>
      <c r="C618" s="47">
        <v>3</v>
      </c>
      <c r="D618" s="47" t="s">
        <v>876</v>
      </c>
      <c r="E618" s="47" t="s">
        <v>13</v>
      </c>
      <c r="F618" s="47">
        <v>34</v>
      </c>
      <c r="G618" s="47">
        <v>1</v>
      </c>
      <c r="H618" s="47">
        <v>1</v>
      </c>
      <c r="I618" s="47">
        <v>347080</v>
      </c>
      <c r="J618" s="47">
        <v>14.4</v>
      </c>
      <c r="L618" s="47" t="s">
        <v>15</v>
      </c>
    </row>
    <row r="619" spans="1:12">
      <c r="A619" s="47">
        <v>618</v>
      </c>
      <c r="B619" s="47">
        <v>0</v>
      </c>
      <c r="C619" s="47">
        <v>3</v>
      </c>
      <c r="D619" s="47" t="s">
        <v>877</v>
      </c>
      <c r="E619" s="47" t="s">
        <v>17</v>
      </c>
      <c r="F619" s="47">
        <v>26</v>
      </c>
      <c r="G619" s="47">
        <v>1</v>
      </c>
      <c r="H619" s="47">
        <v>0</v>
      </c>
      <c r="I619" s="47" t="s">
        <v>384</v>
      </c>
      <c r="J619" s="47">
        <v>16.1</v>
      </c>
      <c r="L619" s="47" t="s">
        <v>15</v>
      </c>
    </row>
    <row r="620" spans="1:12">
      <c r="A620" s="47">
        <v>619</v>
      </c>
      <c r="B620" s="47">
        <v>1</v>
      </c>
      <c r="C620" s="47">
        <v>2</v>
      </c>
      <c r="D620" s="47" t="s">
        <v>878</v>
      </c>
      <c r="E620" s="47" t="s">
        <v>17</v>
      </c>
      <c r="F620" s="47">
        <v>4</v>
      </c>
      <c r="G620" s="47">
        <v>2</v>
      </c>
      <c r="H620" s="47">
        <v>1</v>
      </c>
      <c r="I620" s="47">
        <v>230136</v>
      </c>
      <c r="J620" s="47">
        <v>39</v>
      </c>
      <c r="K620" s="47" t="s">
        <v>286</v>
      </c>
      <c r="L620" s="47" t="s">
        <v>15</v>
      </c>
    </row>
    <row r="621" spans="1:12">
      <c r="A621" s="47">
        <v>620</v>
      </c>
      <c r="B621" s="47">
        <v>0</v>
      </c>
      <c r="C621" s="47">
        <v>2</v>
      </c>
      <c r="D621" s="47" t="s">
        <v>879</v>
      </c>
      <c r="E621" s="47" t="s">
        <v>13</v>
      </c>
      <c r="F621" s="47">
        <v>26</v>
      </c>
      <c r="G621" s="47">
        <v>0</v>
      </c>
      <c r="H621" s="47">
        <v>0</v>
      </c>
      <c r="I621" s="47">
        <v>31028</v>
      </c>
      <c r="J621" s="47">
        <v>10.5</v>
      </c>
      <c r="L621" s="47" t="s">
        <v>15</v>
      </c>
    </row>
    <row r="622" spans="1:12">
      <c r="A622" s="47">
        <v>621</v>
      </c>
      <c r="B622" s="47">
        <v>0</v>
      </c>
      <c r="C622" s="47">
        <v>3</v>
      </c>
      <c r="D622" s="47" t="s">
        <v>880</v>
      </c>
      <c r="E622" s="47" t="s">
        <v>13</v>
      </c>
      <c r="F622" s="47">
        <v>27</v>
      </c>
      <c r="G622" s="47">
        <v>1</v>
      </c>
      <c r="H622" s="47">
        <v>0</v>
      </c>
      <c r="I622" s="47">
        <v>2659</v>
      </c>
      <c r="J622" s="47">
        <v>14.4542</v>
      </c>
      <c r="L622" s="47" t="s">
        <v>20</v>
      </c>
    </row>
    <row r="623" spans="1:12">
      <c r="A623" s="47">
        <v>622</v>
      </c>
      <c r="B623" s="47">
        <v>1</v>
      </c>
      <c r="C623" s="47">
        <v>1</v>
      </c>
      <c r="D623" s="47" t="s">
        <v>881</v>
      </c>
      <c r="E623" s="47" t="s">
        <v>13</v>
      </c>
      <c r="F623" s="47">
        <v>42</v>
      </c>
      <c r="G623" s="47">
        <v>1</v>
      </c>
      <c r="H623" s="47">
        <v>0</v>
      </c>
      <c r="I623" s="47">
        <v>11753</v>
      </c>
      <c r="J623" s="47">
        <v>52.5542</v>
      </c>
      <c r="K623" s="47" t="s">
        <v>882</v>
      </c>
      <c r="L623" s="47" t="s">
        <v>15</v>
      </c>
    </row>
    <row r="624" spans="1:12">
      <c r="A624" s="47">
        <v>623</v>
      </c>
      <c r="B624" s="47">
        <v>1</v>
      </c>
      <c r="C624" s="47">
        <v>3</v>
      </c>
      <c r="D624" s="47" t="s">
        <v>883</v>
      </c>
      <c r="E624" s="47" t="s">
        <v>13</v>
      </c>
      <c r="F624" s="47">
        <v>20</v>
      </c>
      <c r="G624" s="47">
        <v>1</v>
      </c>
      <c r="H624" s="47">
        <v>1</v>
      </c>
      <c r="I624" s="47">
        <v>2653</v>
      </c>
      <c r="J624" s="47">
        <v>15.7417</v>
      </c>
      <c r="L624" s="47" t="s">
        <v>20</v>
      </c>
    </row>
    <row r="625" spans="1:12">
      <c r="A625" s="47">
        <v>624</v>
      </c>
      <c r="B625" s="47">
        <v>0</v>
      </c>
      <c r="C625" s="47">
        <v>3</v>
      </c>
      <c r="D625" s="47" t="s">
        <v>884</v>
      </c>
      <c r="E625" s="47" t="s">
        <v>13</v>
      </c>
      <c r="F625" s="47">
        <v>21</v>
      </c>
      <c r="G625" s="47">
        <v>0</v>
      </c>
      <c r="H625" s="47">
        <v>0</v>
      </c>
      <c r="I625" s="47">
        <v>350029</v>
      </c>
      <c r="J625" s="47">
        <v>7.8542</v>
      </c>
      <c r="L625" s="47" t="s">
        <v>15</v>
      </c>
    </row>
    <row r="626" spans="1:12">
      <c r="A626" s="47">
        <v>625</v>
      </c>
      <c r="B626" s="47">
        <v>0</v>
      </c>
      <c r="C626" s="47">
        <v>3</v>
      </c>
      <c r="D626" s="47" t="s">
        <v>885</v>
      </c>
      <c r="E626" s="47" t="s">
        <v>13</v>
      </c>
      <c r="F626" s="47">
        <v>21</v>
      </c>
      <c r="G626" s="47">
        <v>0</v>
      </c>
      <c r="H626" s="47">
        <v>0</v>
      </c>
      <c r="I626" s="47">
        <v>54636</v>
      </c>
      <c r="J626" s="47">
        <v>16.1</v>
      </c>
      <c r="L626" s="47" t="s">
        <v>15</v>
      </c>
    </row>
    <row r="627" spans="1:12">
      <c r="A627" s="47">
        <v>626</v>
      </c>
      <c r="B627" s="47">
        <v>0</v>
      </c>
      <c r="C627" s="47">
        <v>1</v>
      </c>
      <c r="D627" s="47" t="s">
        <v>886</v>
      </c>
      <c r="E627" s="47" t="s">
        <v>13</v>
      </c>
      <c r="F627" s="47">
        <v>61</v>
      </c>
      <c r="G627" s="47">
        <v>0</v>
      </c>
      <c r="H627" s="47">
        <v>0</v>
      </c>
      <c r="I627" s="47">
        <v>36963</v>
      </c>
      <c r="J627" s="47">
        <v>32.3208</v>
      </c>
      <c r="K627" s="47" t="s">
        <v>887</v>
      </c>
      <c r="L627" s="47" t="s">
        <v>15</v>
      </c>
    </row>
    <row r="628" spans="1:12">
      <c r="A628" s="47">
        <v>627</v>
      </c>
      <c r="B628" s="47">
        <v>0</v>
      </c>
      <c r="C628" s="47">
        <v>2</v>
      </c>
      <c r="D628" s="47" t="s">
        <v>888</v>
      </c>
      <c r="E628" s="47" t="s">
        <v>13</v>
      </c>
      <c r="F628" s="47">
        <v>57</v>
      </c>
      <c r="G628" s="47">
        <v>0</v>
      </c>
      <c r="H628" s="47">
        <v>0</v>
      </c>
      <c r="I628" s="47">
        <v>219533</v>
      </c>
      <c r="J628" s="47">
        <v>12.35</v>
      </c>
      <c r="L628" s="47" t="s">
        <v>27</v>
      </c>
    </row>
    <row r="629" spans="1:12">
      <c r="A629" s="47">
        <v>628</v>
      </c>
      <c r="B629" s="47">
        <v>1</v>
      </c>
      <c r="C629" s="47">
        <v>1</v>
      </c>
      <c r="D629" s="47" t="s">
        <v>889</v>
      </c>
      <c r="E629" s="47" t="s">
        <v>17</v>
      </c>
      <c r="F629" s="47">
        <v>21</v>
      </c>
      <c r="G629" s="47">
        <v>0</v>
      </c>
      <c r="H629" s="47">
        <v>0</v>
      </c>
      <c r="I629" s="47">
        <v>13502</v>
      </c>
      <c r="J629" s="47">
        <v>77.9583</v>
      </c>
      <c r="K629" s="47" t="s">
        <v>890</v>
      </c>
      <c r="L629" s="47" t="s">
        <v>15</v>
      </c>
    </row>
    <row r="630" spans="1:12">
      <c r="A630" s="47">
        <v>629</v>
      </c>
      <c r="B630" s="47">
        <v>0</v>
      </c>
      <c r="C630" s="47">
        <v>3</v>
      </c>
      <c r="D630" s="47" t="s">
        <v>891</v>
      </c>
      <c r="E630" s="47" t="s">
        <v>13</v>
      </c>
      <c r="F630" s="47">
        <v>26</v>
      </c>
      <c r="G630" s="47">
        <v>0</v>
      </c>
      <c r="H630" s="47">
        <v>0</v>
      </c>
      <c r="I630" s="47">
        <v>349224</v>
      </c>
      <c r="J630" s="47">
        <v>7.8958</v>
      </c>
      <c r="L630" s="47" t="s">
        <v>15</v>
      </c>
    </row>
    <row r="631" spans="1:12">
      <c r="A631" s="47">
        <v>630</v>
      </c>
      <c r="B631" s="47">
        <v>0</v>
      </c>
      <c r="C631" s="47">
        <v>3</v>
      </c>
      <c r="D631" s="47" t="s">
        <v>892</v>
      </c>
      <c r="E631" s="47" t="s">
        <v>13</v>
      </c>
      <c r="G631" s="47">
        <v>0</v>
      </c>
      <c r="H631" s="47">
        <v>0</v>
      </c>
      <c r="I631" s="47">
        <v>334912</v>
      </c>
      <c r="J631" s="47">
        <v>7.7333</v>
      </c>
      <c r="L631" s="47" t="s">
        <v>27</v>
      </c>
    </row>
    <row r="632" spans="1:12">
      <c r="A632" s="47">
        <v>631</v>
      </c>
      <c r="B632" s="47">
        <v>1</v>
      </c>
      <c r="C632" s="47">
        <v>1</v>
      </c>
      <c r="D632" s="47" t="s">
        <v>893</v>
      </c>
      <c r="E632" s="47" t="s">
        <v>13</v>
      </c>
      <c r="F632" s="47">
        <v>80</v>
      </c>
      <c r="G632" s="47">
        <v>0</v>
      </c>
      <c r="H632" s="47">
        <v>0</v>
      </c>
      <c r="I632" s="47">
        <v>27042</v>
      </c>
      <c r="J632" s="47">
        <v>30</v>
      </c>
      <c r="K632" s="47" t="s">
        <v>894</v>
      </c>
      <c r="L632" s="47" t="s">
        <v>15</v>
      </c>
    </row>
    <row r="633" spans="1:12">
      <c r="A633" s="47">
        <v>632</v>
      </c>
      <c r="B633" s="47">
        <v>0</v>
      </c>
      <c r="C633" s="47">
        <v>3</v>
      </c>
      <c r="D633" s="47" t="s">
        <v>895</v>
      </c>
      <c r="E633" s="47" t="s">
        <v>13</v>
      </c>
      <c r="F633" s="47">
        <v>51</v>
      </c>
      <c r="G633" s="47">
        <v>0</v>
      </c>
      <c r="H633" s="47">
        <v>0</v>
      </c>
      <c r="I633" s="47">
        <v>347743</v>
      </c>
      <c r="J633" s="47">
        <v>7.0542</v>
      </c>
      <c r="L633" s="47" t="s">
        <v>15</v>
      </c>
    </row>
    <row r="634" spans="1:12">
      <c r="A634" s="47">
        <v>633</v>
      </c>
      <c r="B634" s="47">
        <v>1</v>
      </c>
      <c r="C634" s="47">
        <v>1</v>
      </c>
      <c r="D634" s="47" t="s">
        <v>896</v>
      </c>
      <c r="E634" s="47" t="s">
        <v>13</v>
      </c>
      <c r="F634" s="47">
        <v>32</v>
      </c>
      <c r="G634" s="47">
        <v>0</v>
      </c>
      <c r="H634" s="47">
        <v>0</v>
      </c>
      <c r="I634" s="47">
        <v>13214</v>
      </c>
      <c r="J634" s="47">
        <v>30.5</v>
      </c>
      <c r="K634" s="47" t="s">
        <v>897</v>
      </c>
      <c r="L634" s="47" t="s">
        <v>20</v>
      </c>
    </row>
    <row r="635" spans="1:12">
      <c r="A635" s="47">
        <v>634</v>
      </c>
      <c r="B635" s="47">
        <v>0</v>
      </c>
      <c r="C635" s="47">
        <v>1</v>
      </c>
      <c r="D635" s="47" t="s">
        <v>898</v>
      </c>
      <c r="E635" s="47" t="s">
        <v>13</v>
      </c>
      <c r="G635" s="47">
        <v>0</v>
      </c>
      <c r="H635" s="47">
        <v>0</v>
      </c>
      <c r="I635" s="47">
        <v>112052</v>
      </c>
      <c r="J635" s="47">
        <v>0</v>
      </c>
      <c r="L635" s="47" t="s">
        <v>15</v>
      </c>
    </row>
    <row r="636" spans="1:12">
      <c r="A636" s="47">
        <v>635</v>
      </c>
      <c r="B636" s="47">
        <v>0</v>
      </c>
      <c r="C636" s="47">
        <v>3</v>
      </c>
      <c r="D636" s="47" t="s">
        <v>899</v>
      </c>
      <c r="E636" s="47" t="s">
        <v>17</v>
      </c>
      <c r="F636" s="47">
        <v>9</v>
      </c>
      <c r="G636" s="47">
        <v>3</v>
      </c>
      <c r="H636" s="47">
        <v>2</v>
      </c>
      <c r="I636" s="47">
        <v>347088</v>
      </c>
      <c r="J636" s="47">
        <v>27.9</v>
      </c>
      <c r="L636" s="47" t="s">
        <v>15</v>
      </c>
    </row>
    <row r="637" spans="1:12">
      <c r="A637" s="47">
        <v>636</v>
      </c>
      <c r="B637" s="47">
        <v>1</v>
      </c>
      <c r="C637" s="47">
        <v>2</v>
      </c>
      <c r="D637" s="47" t="s">
        <v>900</v>
      </c>
      <c r="E637" s="47" t="s">
        <v>17</v>
      </c>
      <c r="F637" s="47">
        <v>28</v>
      </c>
      <c r="G637" s="47">
        <v>0</v>
      </c>
      <c r="H637" s="47">
        <v>0</v>
      </c>
      <c r="I637" s="47">
        <v>237668</v>
      </c>
      <c r="J637" s="47">
        <v>13</v>
      </c>
      <c r="L637" s="47" t="s">
        <v>15</v>
      </c>
    </row>
    <row r="638" spans="1:12">
      <c r="A638" s="47">
        <v>637</v>
      </c>
      <c r="B638" s="47">
        <v>0</v>
      </c>
      <c r="C638" s="47">
        <v>3</v>
      </c>
      <c r="D638" s="47" t="s">
        <v>901</v>
      </c>
      <c r="E638" s="47" t="s">
        <v>13</v>
      </c>
      <c r="F638" s="47">
        <v>32</v>
      </c>
      <c r="G638" s="47">
        <v>0</v>
      </c>
      <c r="H638" s="47">
        <v>0</v>
      </c>
      <c r="I638" s="47" t="s">
        <v>902</v>
      </c>
      <c r="J638" s="47">
        <v>7.925</v>
      </c>
      <c r="L638" s="47" t="s">
        <v>15</v>
      </c>
    </row>
    <row r="639" spans="1:12">
      <c r="A639" s="47">
        <v>638</v>
      </c>
      <c r="B639" s="47">
        <v>0</v>
      </c>
      <c r="C639" s="47">
        <v>2</v>
      </c>
      <c r="D639" s="47" t="s">
        <v>903</v>
      </c>
      <c r="E639" s="47" t="s">
        <v>13</v>
      </c>
      <c r="F639" s="47">
        <v>31</v>
      </c>
      <c r="G639" s="47">
        <v>1</v>
      </c>
      <c r="H639" s="47">
        <v>1</v>
      </c>
      <c r="I639" s="47" t="s">
        <v>361</v>
      </c>
      <c r="J639" s="47">
        <v>26.25</v>
      </c>
      <c r="L639" s="47" t="s">
        <v>15</v>
      </c>
    </row>
    <row r="640" spans="1:12">
      <c r="A640" s="47">
        <v>639</v>
      </c>
      <c r="B640" s="47">
        <v>0</v>
      </c>
      <c r="C640" s="47">
        <v>3</v>
      </c>
      <c r="D640" s="47" t="s">
        <v>904</v>
      </c>
      <c r="E640" s="47" t="s">
        <v>17</v>
      </c>
      <c r="F640" s="47">
        <v>41</v>
      </c>
      <c r="G640" s="47">
        <v>0</v>
      </c>
      <c r="H640" s="47">
        <v>5</v>
      </c>
      <c r="I640" s="47">
        <v>3101295</v>
      </c>
      <c r="J640" s="47">
        <v>39.6875</v>
      </c>
      <c r="L640" s="47" t="s">
        <v>15</v>
      </c>
    </row>
    <row r="641" spans="1:12">
      <c r="A641" s="47">
        <v>640</v>
      </c>
      <c r="B641" s="47">
        <v>0</v>
      </c>
      <c r="C641" s="47">
        <v>3</v>
      </c>
      <c r="D641" s="47" t="s">
        <v>905</v>
      </c>
      <c r="E641" s="47" t="s">
        <v>13</v>
      </c>
      <c r="G641" s="47">
        <v>1</v>
      </c>
      <c r="H641" s="47">
        <v>0</v>
      </c>
      <c r="I641" s="47">
        <v>376564</v>
      </c>
      <c r="J641" s="47">
        <v>16.1</v>
      </c>
      <c r="L641" s="47" t="s">
        <v>15</v>
      </c>
    </row>
    <row r="642" spans="1:12">
      <c r="A642" s="47">
        <v>641</v>
      </c>
      <c r="B642" s="47">
        <v>0</v>
      </c>
      <c r="C642" s="47">
        <v>3</v>
      </c>
      <c r="D642" s="47" t="s">
        <v>906</v>
      </c>
      <c r="E642" s="47" t="s">
        <v>13</v>
      </c>
      <c r="F642" s="47">
        <v>20</v>
      </c>
      <c r="G642" s="47">
        <v>0</v>
      </c>
      <c r="H642" s="47">
        <v>0</v>
      </c>
      <c r="I642" s="47">
        <v>350050</v>
      </c>
      <c r="J642" s="47">
        <v>7.8542</v>
      </c>
      <c r="L642" s="47" t="s">
        <v>15</v>
      </c>
    </row>
    <row r="643" spans="1:12">
      <c r="A643" s="47">
        <v>642</v>
      </c>
      <c r="B643" s="47">
        <v>1</v>
      </c>
      <c r="C643" s="47">
        <v>1</v>
      </c>
      <c r="D643" s="47" t="s">
        <v>907</v>
      </c>
      <c r="E643" s="47" t="s">
        <v>17</v>
      </c>
      <c r="F643" s="47">
        <v>24</v>
      </c>
      <c r="G643" s="47">
        <v>0</v>
      </c>
      <c r="H643" s="47">
        <v>0</v>
      </c>
      <c r="I643" s="47" t="s">
        <v>549</v>
      </c>
      <c r="J643" s="47">
        <v>69.3</v>
      </c>
      <c r="K643" s="47" t="s">
        <v>550</v>
      </c>
      <c r="L643" s="47" t="s">
        <v>20</v>
      </c>
    </row>
    <row r="644" spans="1:12">
      <c r="A644" s="47">
        <v>643</v>
      </c>
      <c r="B644" s="47">
        <v>0</v>
      </c>
      <c r="C644" s="47">
        <v>3</v>
      </c>
      <c r="D644" s="47" t="s">
        <v>908</v>
      </c>
      <c r="E644" s="47" t="s">
        <v>17</v>
      </c>
      <c r="F644" s="47">
        <v>2</v>
      </c>
      <c r="G644" s="47">
        <v>3</v>
      </c>
      <c r="H644" s="47">
        <v>2</v>
      </c>
      <c r="I644" s="47">
        <v>347088</v>
      </c>
      <c r="J644" s="47">
        <v>27.9</v>
      </c>
      <c r="L644" s="47" t="s">
        <v>15</v>
      </c>
    </row>
    <row r="645" spans="1:12">
      <c r="A645" s="47">
        <v>644</v>
      </c>
      <c r="B645" s="47">
        <v>1</v>
      </c>
      <c r="C645" s="47">
        <v>3</v>
      </c>
      <c r="D645" s="47" t="s">
        <v>909</v>
      </c>
      <c r="E645" s="47" t="s">
        <v>13</v>
      </c>
      <c r="G645" s="47">
        <v>0</v>
      </c>
      <c r="H645" s="47">
        <v>0</v>
      </c>
      <c r="I645" s="47">
        <v>1601</v>
      </c>
      <c r="J645" s="47">
        <v>56.4958</v>
      </c>
      <c r="L645" s="47" t="s">
        <v>15</v>
      </c>
    </row>
    <row r="646" spans="1:12">
      <c r="A646" s="47">
        <v>645</v>
      </c>
      <c r="B646" s="47">
        <v>1</v>
      </c>
      <c r="C646" s="47">
        <v>3</v>
      </c>
      <c r="D646" s="47" t="s">
        <v>910</v>
      </c>
      <c r="E646" s="47" t="s">
        <v>17</v>
      </c>
      <c r="F646" s="47">
        <v>0.75</v>
      </c>
      <c r="G646" s="47">
        <v>2</v>
      </c>
      <c r="H646" s="47">
        <v>1</v>
      </c>
      <c r="I646" s="47">
        <v>2666</v>
      </c>
      <c r="J646" s="47">
        <v>19.2583</v>
      </c>
      <c r="L646" s="47" t="s">
        <v>20</v>
      </c>
    </row>
    <row r="647" spans="1:12">
      <c r="A647" s="47">
        <v>646</v>
      </c>
      <c r="B647" s="47">
        <v>1</v>
      </c>
      <c r="C647" s="47">
        <v>1</v>
      </c>
      <c r="D647" s="47" t="s">
        <v>911</v>
      </c>
      <c r="E647" s="47" t="s">
        <v>13</v>
      </c>
      <c r="F647" s="47">
        <v>48</v>
      </c>
      <c r="G647" s="47">
        <v>1</v>
      </c>
      <c r="H647" s="47">
        <v>0</v>
      </c>
      <c r="I647" s="47" t="s">
        <v>92</v>
      </c>
      <c r="J647" s="47">
        <v>76.7292</v>
      </c>
      <c r="K647" s="47" t="s">
        <v>93</v>
      </c>
      <c r="L647" s="47" t="s">
        <v>20</v>
      </c>
    </row>
    <row r="648" spans="1:12">
      <c r="A648" s="47">
        <v>647</v>
      </c>
      <c r="B648" s="47">
        <v>0</v>
      </c>
      <c r="C648" s="47">
        <v>3</v>
      </c>
      <c r="D648" s="47" t="s">
        <v>912</v>
      </c>
      <c r="E648" s="47" t="s">
        <v>13</v>
      </c>
      <c r="F648" s="47">
        <v>19</v>
      </c>
      <c r="G648" s="47">
        <v>0</v>
      </c>
      <c r="H648" s="47">
        <v>0</v>
      </c>
      <c r="I648" s="47">
        <v>349231</v>
      </c>
      <c r="J648" s="47">
        <v>7.8958</v>
      </c>
      <c r="L648" s="47" t="s">
        <v>15</v>
      </c>
    </row>
    <row r="649" spans="1:12">
      <c r="A649" s="47">
        <v>648</v>
      </c>
      <c r="B649" s="47">
        <v>1</v>
      </c>
      <c r="C649" s="47">
        <v>1</v>
      </c>
      <c r="D649" s="47" t="s">
        <v>913</v>
      </c>
      <c r="E649" s="47" t="s">
        <v>13</v>
      </c>
      <c r="F649" s="47">
        <v>56</v>
      </c>
      <c r="G649" s="47">
        <v>0</v>
      </c>
      <c r="H649" s="47">
        <v>0</v>
      </c>
      <c r="I649" s="47">
        <v>13213</v>
      </c>
      <c r="J649" s="47">
        <v>35.5</v>
      </c>
      <c r="K649" s="47" t="s">
        <v>914</v>
      </c>
      <c r="L649" s="47" t="s">
        <v>20</v>
      </c>
    </row>
    <row r="650" spans="1:12">
      <c r="A650" s="47">
        <v>649</v>
      </c>
      <c r="B650" s="47">
        <v>0</v>
      </c>
      <c r="C650" s="47">
        <v>3</v>
      </c>
      <c r="D650" s="47" t="s">
        <v>915</v>
      </c>
      <c r="E650" s="47" t="s">
        <v>13</v>
      </c>
      <c r="G650" s="47">
        <v>0</v>
      </c>
      <c r="H650" s="47">
        <v>0</v>
      </c>
      <c r="I650" s="47" t="s">
        <v>916</v>
      </c>
      <c r="J650" s="47">
        <v>7.55</v>
      </c>
      <c r="L650" s="47" t="s">
        <v>15</v>
      </c>
    </row>
    <row r="651" spans="1:12">
      <c r="A651" s="47">
        <v>650</v>
      </c>
      <c r="B651" s="47">
        <v>1</v>
      </c>
      <c r="C651" s="47">
        <v>3</v>
      </c>
      <c r="D651" s="47" t="s">
        <v>917</v>
      </c>
      <c r="E651" s="47" t="s">
        <v>17</v>
      </c>
      <c r="F651" s="47">
        <v>23</v>
      </c>
      <c r="G651" s="47">
        <v>0</v>
      </c>
      <c r="H651" s="47">
        <v>0</v>
      </c>
      <c r="I651" s="47" t="s">
        <v>918</v>
      </c>
      <c r="J651" s="47">
        <v>7.55</v>
      </c>
      <c r="L651" s="47" t="s">
        <v>15</v>
      </c>
    </row>
    <row r="652" spans="1:12">
      <c r="A652" s="47">
        <v>651</v>
      </c>
      <c r="B652" s="47">
        <v>0</v>
      </c>
      <c r="C652" s="47">
        <v>3</v>
      </c>
      <c r="D652" s="47" t="s">
        <v>919</v>
      </c>
      <c r="E652" s="47" t="s">
        <v>13</v>
      </c>
      <c r="G652" s="47">
        <v>0</v>
      </c>
      <c r="H652" s="47">
        <v>0</v>
      </c>
      <c r="I652" s="47">
        <v>349221</v>
      </c>
      <c r="J652" s="47">
        <v>7.8958</v>
      </c>
      <c r="L652" s="47" t="s">
        <v>15</v>
      </c>
    </row>
    <row r="653" spans="1:12">
      <c r="A653" s="47">
        <v>652</v>
      </c>
      <c r="B653" s="47">
        <v>1</v>
      </c>
      <c r="C653" s="47">
        <v>2</v>
      </c>
      <c r="D653" s="47" t="s">
        <v>920</v>
      </c>
      <c r="E653" s="47" t="s">
        <v>17</v>
      </c>
      <c r="F653" s="47">
        <v>18</v>
      </c>
      <c r="G653" s="47">
        <v>0</v>
      </c>
      <c r="H653" s="47">
        <v>1</v>
      </c>
      <c r="I653" s="47">
        <v>231919</v>
      </c>
      <c r="J653" s="47">
        <v>23</v>
      </c>
      <c r="L653" s="47" t="s">
        <v>15</v>
      </c>
    </row>
    <row r="654" spans="1:12">
      <c r="A654" s="47">
        <v>653</v>
      </c>
      <c r="B654" s="47">
        <v>0</v>
      </c>
      <c r="C654" s="47">
        <v>3</v>
      </c>
      <c r="D654" s="47" t="s">
        <v>921</v>
      </c>
      <c r="E654" s="47" t="s">
        <v>13</v>
      </c>
      <c r="F654" s="47">
        <v>21</v>
      </c>
      <c r="G654" s="47">
        <v>0</v>
      </c>
      <c r="H654" s="47">
        <v>0</v>
      </c>
      <c r="I654" s="47">
        <v>8475</v>
      </c>
      <c r="J654" s="47">
        <v>8.4333</v>
      </c>
      <c r="L654" s="47" t="s">
        <v>15</v>
      </c>
    </row>
    <row r="655" spans="1:12">
      <c r="A655" s="47">
        <v>654</v>
      </c>
      <c r="B655" s="47">
        <v>1</v>
      </c>
      <c r="C655" s="47">
        <v>3</v>
      </c>
      <c r="D655" s="47" t="s">
        <v>922</v>
      </c>
      <c r="E655" s="47" t="s">
        <v>17</v>
      </c>
      <c r="G655" s="47">
        <v>0</v>
      </c>
      <c r="H655" s="47">
        <v>0</v>
      </c>
      <c r="I655" s="47">
        <v>330919</v>
      </c>
      <c r="J655" s="47">
        <v>7.8292</v>
      </c>
      <c r="L655" s="47" t="s">
        <v>27</v>
      </c>
    </row>
    <row r="656" spans="1:12">
      <c r="A656" s="47">
        <v>655</v>
      </c>
      <c r="B656" s="47">
        <v>0</v>
      </c>
      <c r="C656" s="47">
        <v>3</v>
      </c>
      <c r="D656" s="47" t="s">
        <v>923</v>
      </c>
      <c r="E656" s="47" t="s">
        <v>17</v>
      </c>
      <c r="F656" s="47">
        <v>18</v>
      </c>
      <c r="G656" s="47">
        <v>0</v>
      </c>
      <c r="H656" s="47">
        <v>0</v>
      </c>
      <c r="I656" s="47">
        <v>365226</v>
      </c>
      <c r="J656" s="47">
        <v>6.75</v>
      </c>
      <c r="L656" s="47" t="s">
        <v>27</v>
      </c>
    </row>
    <row r="657" spans="1:12">
      <c r="A657" s="47">
        <v>656</v>
      </c>
      <c r="B657" s="47">
        <v>0</v>
      </c>
      <c r="C657" s="47">
        <v>2</v>
      </c>
      <c r="D657" s="47" t="s">
        <v>924</v>
      </c>
      <c r="E657" s="47" t="s">
        <v>13</v>
      </c>
      <c r="F657" s="47">
        <v>24</v>
      </c>
      <c r="G657" s="47">
        <v>2</v>
      </c>
      <c r="H657" s="47">
        <v>0</v>
      </c>
      <c r="I657" s="47" t="s">
        <v>126</v>
      </c>
      <c r="J657" s="47">
        <v>73.5</v>
      </c>
      <c r="L657" s="47" t="s">
        <v>15</v>
      </c>
    </row>
    <row r="658" spans="1:12">
      <c r="A658" s="47">
        <v>657</v>
      </c>
      <c r="B658" s="47">
        <v>0</v>
      </c>
      <c r="C658" s="47">
        <v>3</v>
      </c>
      <c r="D658" s="47" t="s">
        <v>925</v>
      </c>
      <c r="E658" s="47" t="s">
        <v>13</v>
      </c>
      <c r="G658" s="47">
        <v>0</v>
      </c>
      <c r="H658" s="47">
        <v>0</v>
      </c>
      <c r="I658" s="47">
        <v>349223</v>
      </c>
      <c r="J658" s="47">
        <v>7.8958</v>
      </c>
      <c r="L658" s="47" t="s">
        <v>15</v>
      </c>
    </row>
    <row r="659" spans="1:12">
      <c r="A659" s="47">
        <v>658</v>
      </c>
      <c r="B659" s="47">
        <v>0</v>
      </c>
      <c r="C659" s="47">
        <v>3</v>
      </c>
      <c r="D659" s="47" t="s">
        <v>926</v>
      </c>
      <c r="E659" s="47" t="s">
        <v>17</v>
      </c>
      <c r="F659" s="47">
        <v>32</v>
      </c>
      <c r="G659" s="47">
        <v>1</v>
      </c>
      <c r="H659" s="47">
        <v>1</v>
      </c>
      <c r="I659" s="47">
        <v>364849</v>
      </c>
      <c r="J659" s="47">
        <v>15.5</v>
      </c>
      <c r="L659" s="47" t="s">
        <v>27</v>
      </c>
    </row>
    <row r="660" spans="1:12">
      <c r="A660" s="47">
        <v>659</v>
      </c>
      <c r="B660" s="47">
        <v>0</v>
      </c>
      <c r="C660" s="47">
        <v>2</v>
      </c>
      <c r="D660" s="47" t="s">
        <v>927</v>
      </c>
      <c r="E660" s="47" t="s">
        <v>13</v>
      </c>
      <c r="F660" s="47">
        <v>23</v>
      </c>
      <c r="G660" s="47">
        <v>0</v>
      </c>
      <c r="H660" s="47">
        <v>0</v>
      </c>
      <c r="I660" s="47">
        <v>29751</v>
      </c>
      <c r="J660" s="47">
        <v>13</v>
      </c>
      <c r="L660" s="47" t="s">
        <v>15</v>
      </c>
    </row>
    <row r="661" spans="1:12">
      <c r="A661" s="47">
        <v>660</v>
      </c>
      <c r="B661" s="47">
        <v>0</v>
      </c>
      <c r="C661" s="47">
        <v>1</v>
      </c>
      <c r="D661" s="47" t="s">
        <v>928</v>
      </c>
      <c r="E661" s="47" t="s">
        <v>13</v>
      </c>
      <c r="F661" s="47">
        <v>58</v>
      </c>
      <c r="G661" s="47">
        <v>0</v>
      </c>
      <c r="H661" s="47">
        <v>2</v>
      </c>
      <c r="I661" s="47">
        <v>35273</v>
      </c>
      <c r="J661" s="47">
        <v>113.275</v>
      </c>
      <c r="K661" s="47" t="s">
        <v>929</v>
      </c>
      <c r="L661" s="47" t="s">
        <v>20</v>
      </c>
    </row>
    <row r="662" spans="1:12">
      <c r="A662" s="47">
        <v>661</v>
      </c>
      <c r="B662" s="47">
        <v>1</v>
      </c>
      <c r="C662" s="47">
        <v>1</v>
      </c>
      <c r="D662" s="47" t="s">
        <v>930</v>
      </c>
      <c r="E662" s="47" t="s">
        <v>13</v>
      </c>
      <c r="F662" s="47">
        <v>50</v>
      </c>
      <c r="G662" s="47">
        <v>2</v>
      </c>
      <c r="H662" s="47">
        <v>0</v>
      </c>
      <c r="I662" s="47" t="s">
        <v>505</v>
      </c>
      <c r="J662" s="47">
        <v>133.65</v>
      </c>
      <c r="L662" s="47" t="s">
        <v>15</v>
      </c>
    </row>
    <row r="663" spans="1:12">
      <c r="A663" s="47">
        <v>662</v>
      </c>
      <c r="B663" s="47">
        <v>0</v>
      </c>
      <c r="C663" s="47">
        <v>3</v>
      </c>
      <c r="D663" s="47" t="s">
        <v>931</v>
      </c>
      <c r="E663" s="47" t="s">
        <v>13</v>
      </c>
      <c r="F663" s="47">
        <v>40</v>
      </c>
      <c r="G663" s="47">
        <v>0</v>
      </c>
      <c r="H663" s="47">
        <v>0</v>
      </c>
      <c r="I663" s="47">
        <v>2623</v>
      </c>
      <c r="J663" s="47">
        <v>7.225</v>
      </c>
      <c r="L663" s="47" t="s">
        <v>20</v>
      </c>
    </row>
    <row r="664" spans="1:12">
      <c r="A664" s="47">
        <v>663</v>
      </c>
      <c r="B664" s="47">
        <v>0</v>
      </c>
      <c r="C664" s="47">
        <v>1</v>
      </c>
      <c r="D664" s="47" t="s">
        <v>932</v>
      </c>
      <c r="E664" s="47" t="s">
        <v>13</v>
      </c>
      <c r="F664" s="47">
        <v>47</v>
      </c>
      <c r="G664" s="47">
        <v>0</v>
      </c>
      <c r="H664" s="47">
        <v>0</v>
      </c>
      <c r="I664" s="47">
        <v>5727</v>
      </c>
      <c r="J664" s="47">
        <v>25.5875</v>
      </c>
      <c r="K664" s="47" t="s">
        <v>933</v>
      </c>
      <c r="L664" s="47" t="s">
        <v>15</v>
      </c>
    </row>
    <row r="665" spans="1:12">
      <c r="A665" s="47">
        <v>664</v>
      </c>
      <c r="B665" s="47">
        <v>0</v>
      </c>
      <c r="C665" s="47">
        <v>3</v>
      </c>
      <c r="D665" s="47" t="s">
        <v>934</v>
      </c>
      <c r="E665" s="47" t="s">
        <v>13</v>
      </c>
      <c r="F665" s="47">
        <v>36</v>
      </c>
      <c r="G665" s="47">
        <v>0</v>
      </c>
      <c r="H665" s="47">
        <v>0</v>
      </c>
      <c r="I665" s="47">
        <v>349210</v>
      </c>
      <c r="J665" s="47">
        <v>7.4958</v>
      </c>
      <c r="L665" s="47" t="s">
        <v>15</v>
      </c>
    </row>
    <row r="666" spans="1:12">
      <c r="A666" s="47">
        <v>665</v>
      </c>
      <c r="B666" s="47">
        <v>1</v>
      </c>
      <c r="C666" s="47">
        <v>3</v>
      </c>
      <c r="D666" s="47" t="s">
        <v>935</v>
      </c>
      <c r="E666" s="47" t="s">
        <v>13</v>
      </c>
      <c r="F666" s="47">
        <v>20</v>
      </c>
      <c r="G666" s="47">
        <v>1</v>
      </c>
      <c r="H666" s="47">
        <v>0</v>
      </c>
      <c r="I666" s="47" t="s">
        <v>936</v>
      </c>
      <c r="J666" s="47">
        <v>7.925</v>
      </c>
      <c r="L666" s="47" t="s">
        <v>15</v>
      </c>
    </row>
    <row r="667" spans="1:12">
      <c r="A667" s="47">
        <v>666</v>
      </c>
      <c r="B667" s="47">
        <v>0</v>
      </c>
      <c r="C667" s="47">
        <v>2</v>
      </c>
      <c r="D667" s="47" t="s">
        <v>937</v>
      </c>
      <c r="E667" s="47" t="s">
        <v>13</v>
      </c>
      <c r="F667" s="47">
        <v>32</v>
      </c>
      <c r="G667" s="47">
        <v>2</v>
      </c>
      <c r="H667" s="47">
        <v>0</v>
      </c>
      <c r="I667" s="47" t="s">
        <v>126</v>
      </c>
      <c r="J667" s="47">
        <v>73.5</v>
      </c>
      <c r="L667" s="47" t="s">
        <v>15</v>
      </c>
    </row>
    <row r="668" spans="1:12">
      <c r="A668" s="47">
        <v>667</v>
      </c>
      <c r="B668" s="47">
        <v>0</v>
      </c>
      <c r="C668" s="47">
        <v>2</v>
      </c>
      <c r="D668" s="47" t="s">
        <v>938</v>
      </c>
      <c r="E668" s="47" t="s">
        <v>13</v>
      </c>
      <c r="F668" s="47">
        <v>25</v>
      </c>
      <c r="G668" s="47">
        <v>0</v>
      </c>
      <c r="H668" s="47">
        <v>0</v>
      </c>
      <c r="I668" s="47">
        <v>234686</v>
      </c>
      <c r="J668" s="47">
        <v>13</v>
      </c>
      <c r="L668" s="47" t="s">
        <v>15</v>
      </c>
    </row>
    <row r="669" spans="1:12">
      <c r="A669" s="47">
        <v>668</v>
      </c>
      <c r="B669" s="47">
        <v>0</v>
      </c>
      <c r="C669" s="47">
        <v>3</v>
      </c>
      <c r="D669" s="47" t="s">
        <v>939</v>
      </c>
      <c r="E669" s="47" t="s">
        <v>13</v>
      </c>
      <c r="G669" s="47">
        <v>0</v>
      </c>
      <c r="H669" s="47">
        <v>0</v>
      </c>
      <c r="I669" s="47">
        <v>312993</v>
      </c>
      <c r="J669" s="47">
        <v>7.775</v>
      </c>
      <c r="L669" s="47" t="s">
        <v>15</v>
      </c>
    </row>
    <row r="670" spans="1:12">
      <c r="A670" s="47">
        <v>669</v>
      </c>
      <c r="B670" s="47">
        <v>0</v>
      </c>
      <c r="C670" s="47">
        <v>3</v>
      </c>
      <c r="D670" s="47" t="s">
        <v>940</v>
      </c>
      <c r="E670" s="47" t="s">
        <v>13</v>
      </c>
      <c r="F670" s="47">
        <v>43</v>
      </c>
      <c r="G670" s="47">
        <v>0</v>
      </c>
      <c r="H670" s="47">
        <v>0</v>
      </c>
      <c r="I670" s="47" t="s">
        <v>941</v>
      </c>
      <c r="J670" s="47">
        <v>8.05</v>
      </c>
      <c r="L670" s="47" t="s">
        <v>15</v>
      </c>
    </row>
    <row r="671" spans="1:12">
      <c r="A671" s="47">
        <v>670</v>
      </c>
      <c r="B671" s="47">
        <v>1</v>
      </c>
      <c r="C671" s="47">
        <v>1</v>
      </c>
      <c r="D671" s="47" t="s">
        <v>942</v>
      </c>
      <c r="E671" s="47" t="s">
        <v>17</v>
      </c>
      <c r="G671" s="47">
        <v>1</v>
      </c>
      <c r="H671" s="47">
        <v>0</v>
      </c>
      <c r="I671" s="47">
        <v>19996</v>
      </c>
      <c r="J671" s="47">
        <v>52</v>
      </c>
      <c r="K671" s="47" t="s">
        <v>943</v>
      </c>
      <c r="L671" s="47" t="s">
        <v>15</v>
      </c>
    </row>
    <row r="672" spans="1:12">
      <c r="A672" s="47">
        <v>671</v>
      </c>
      <c r="B672" s="47">
        <v>1</v>
      </c>
      <c r="C672" s="47">
        <v>2</v>
      </c>
      <c r="D672" s="47" t="s">
        <v>944</v>
      </c>
      <c r="E672" s="47" t="s">
        <v>17</v>
      </c>
      <c r="F672" s="47">
        <v>40</v>
      </c>
      <c r="G672" s="47">
        <v>1</v>
      </c>
      <c r="H672" s="47">
        <v>1</v>
      </c>
      <c r="I672" s="47">
        <v>29750</v>
      </c>
      <c r="J672" s="47">
        <v>39</v>
      </c>
      <c r="L672" s="47" t="s">
        <v>15</v>
      </c>
    </row>
    <row r="673" spans="1:12">
      <c r="A673" s="47">
        <v>672</v>
      </c>
      <c r="B673" s="47">
        <v>0</v>
      </c>
      <c r="C673" s="47">
        <v>1</v>
      </c>
      <c r="D673" s="47" t="s">
        <v>945</v>
      </c>
      <c r="E673" s="47" t="s">
        <v>13</v>
      </c>
      <c r="F673" s="47">
        <v>31</v>
      </c>
      <c r="G673" s="47">
        <v>1</v>
      </c>
      <c r="H673" s="47">
        <v>0</v>
      </c>
      <c r="I673" s="47" t="s">
        <v>946</v>
      </c>
      <c r="J673" s="47">
        <v>52</v>
      </c>
      <c r="K673" s="47" t="s">
        <v>947</v>
      </c>
      <c r="L673" s="47" t="s">
        <v>15</v>
      </c>
    </row>
    <row r="674" spans="1:12">
      <c r="A674" s="47">
        <v>673</v>
      </c>
      <c r="B674" s="47">
        <v>0</v>
      </c>
      <c r="C674" s="47">
        <v>2</v>
      </c>
      <c r="D674" s="47" t="s">
        <v>948</v>
      </c>
      <c r="E674" s="47" t="s">
        <v>13</v>
      </c>
      <c r="F674" s="47">
        <v>70</v>
      </c>
      <c r="G674" s="47">
        <v>0</v>
      </c>
      <c r="H674" s="47">
        <v>0</v>
      </c>
      <c r="I674" s="47" t="s">
        <v>949</v>
      </c>
      <c r="J674" s="47">
        <v>10.5</v>
      </c>
      <c r="L674" s="47" t="s">
        <v>15</v>
      </c>
    </row>
    <row r="675" spans="1:12">
      <c r="A675" s="47">
        <v>674</v>
      </c>
      <c r="B675" s="47">
        <v>1</v>
      </c>
      <c r="C675" s="47">
        <v>2</v>
      </c>
      <c r="D675" s="47" t="s">
        <v>950</v>
      </c>
      <c r="E675" s="47" t="s">
        <v>13</v>
      </c>
      <c r="F675" s="47">
        <v>31</v>
      </c>
      <c r="G675" s="47">
        <v>0</v>
      </c>
      <c r="H675" s="47">
        <v>0</v>
      </c>
      <c r="I675" s="47">
        <v>244270</v>
      </c>
      <c r="J675" s="47">
        <v>13</v>
      </c>
      <c r="L675" s="47" t="s">
        <v>15</v>
      </c>
    </row>
    <row r="676" spans="1:12">
      <c r="A676" s="47">
        <v>675</v>
      </c>
      <c r="B676" s="47">
        <v>0</v>
      </c>
      <c r="C676" s="47">
        <v>2</v>
      </c>
      <c r="D676" s="47" t="s">
        <v>951</v>
      </c>
      <c r="E676" s="47" t="s">
        <v>13</v>
      </c>
      <c r="G676" s="47">
        <v>0</v>
      </c>
      <c r="H676" s="47">
        <v>0</v>
      </c>
      <c r="I676" s="47">
        <v>239856</v>
      </c>
      <c r="J676" s="47">
        <v>0</v>
      </c>
      <c r="L676" s="47" t="s">
        <v>15</v>
      </c>
    </row>
    <row r="677" spans="1:12">
      <c r="A677" s="47">
        <v>676</v>
      </c>
      <c r="B677" s="47">
        <v>0</v>
      </c>
      <c r="C677" s="47">
        <v>3</v>
      </c>
      <c r="D677" s="47" t="s">
        <v>952</v>
      </c>
      <c r="E677" s="47" t="s">
        <v>13</v>
      </c>
      <c r="F677" s="47">
        <v>18</v>
      </c>
      <c r="G677" s="47">
        <v>0</v>
      </c>
      <c r="H677" s="47">
        <v>0</v>
      </c>
      <c r="I677" s="47">
        <v>349912</v>
      </c>
      <c r="J677" s="47">
        <v>7.775</v>
      </c>
      <c r="L677" s="47" t="s">
        <v>15</v>
      </c>
    </row>
    <row r="678" spans="1:12">
      <c r="A678" s="47">
        <v>677</v>
      </c>
      <c r="B678" s="47">
        <v>0</v>
      </c>
      <c r="C678" s="47">
        <v>3</v>
      </c>
      <c r="D678" s="47" t="s">
        <v>953</v>
      </c>
      <c r="E678" s="47" t="s">
        <v>13</v>
      </c>
      <c r="F678" s="47">
        <v>24.5</v>
      </c>
      <c r="G678" s="47">
        <v>0</v>
      </c>
      <c r="H678" s="47">
        <v>0</v>
      </c>
      <c r="I678" s="47">
        <v>342826</v>
      </c>
      <c r="J678" s="47">
        <v>8.05</v>
      </c>
      <c r="L678" s="47" t="s">
        <v>15</v>
      </c>
    </row>
    <row r="679" spans="1:12">
      <c r="A679" s="47">
        <v>678</v>
      </c>
      <c r="B679" s="47">
        <v>1</v>
      </c>
      <c r="C679" s="47">
        <v>3</v>
      </c>
      <c r="D679" s="47" t="s">
        <v>954</v>
      </c>
      <c r="E679" s="47" t="s">
        <v>17</v>
      </c>
      <c r="F679" s="47">
        <v>18</v>
      </c>
      <c r="G679" s="47">
        <v>0</v>
      </c>
      <c r="H679" s="47">
        <v>0</v>
      </c>
      <c r="I679" s="47">
        <v>4138</v>
      </c>
      <c r="J679" s="47">
        <v>9.8417</v>
      </c>
      <c r="L679" s="47" t="s">
        <v>15</v>
      </c>
    </row>
    <row r="680" spans="1:12">
      <c r="A680" s="47">
        <v>679</v>
      </c>
      <c r="B680" s="47">
        <v>0</v>
      </c>
      <c r="C680" s="47">
        <v>3</v>
      </c>
      <c r="D680" s="47" t="s">
        <v>955</v>
      </c>
      <c r="E680" s="47" t="s">
        <v>17</v>
      </c>
      <c r="F680" s="47">
        <v>43</v>
      </c>
      <c r="G680" s="47">
        <v>1</v>
      </c>
      <c r="H680" s="47">
        <v>6</v>
      </c>
      <c r="I680" s="47" t="s">
        <v>105</v>
      </c>
      <c r="J680" s="47">
        <v>46.9</v>
      </c>
      <c r="L680" s="47" t="s">
        <v>15</v>
      </c>
    </row>
    <row r="681" spans="1:12">
      <c r="A681" s="47">
        <v>680</v>
      </c>
      <c r="B681" s="47">
        <v>1</v>
      </c>
      <c r="C681" s="47">
        <v>1</v>
      </c>
      <c r="D681" s="47" t="s">
        <v>956</v>
      </c>
      <c r="E681" s="47" t="s">
        <v>13</v>
      </c>
      <c r="F681" s="47">
        <v>36</v>
      </c>
      <c r="G681" s="47">
        <v>0</v>
      </c>
      <c r="H681" s="47">
        <v>1</v>
      </c>
      <c r="I681" s="47" t="s">
        <v>392</v>
      </c>
      <c r="J681" s="47">
        <v>512.3292</v>
      </c>
      <c r="K681" s="47" t="s">
        <v>957</v>
      </c>
      <c r="L681" s="47" t="s">
        <v>20</v>
      </c>
    </row>
    <row r="682" spans="1:12">
      <c r="A682" s="47">
        <v>681</v>
      </c>
      <c r="B682" s="47">
        <v>0</v>
      </c>
      <c r="C682" s="47">
        <v>3</v>
      </c>
      <c r="D682" s="47" t="s">
        <v>958</v>
      </c>
      <c r="E682" s="47" t="s">
        <v>17</v>
      </c>
      <c r="G682" s="47">
        <v>0</v>
      </c>
      <c r="H682" s="47">
        <v>0</v>
      </c>
      <c r="I682" s="47">
        <v>330935</v>
      </c>
      <c r="J682" s="47">
        <v>8.1375</v>
      </c>
      <c r="L682" s="47" t="s">
        <v>27</v>
      </c>
    </row>
    <row r="683" spans="1:12">
      <c r="A683" s="47">
        <v>682</v>
      </c>
      <c r="B683" s="47">
        <v>1</v>
      </c>
      <c r="C683" s="47">
        <v>1</v>
      </c>
      <c r="D683" s="47" t="s">
        <v>959</v>
      </c>
      <c r="E683" s="47" t="s">
        <v>13</v>
      </c>
      <c r="F683" s="47">
        <v>27</v>
      </c>
      <c r="G683" s="47">
        <v>0</v>
      </c>
      <c r="H683" s="47">
        <v>0</v>
      </c>
      <c r="I683" s="47" t="s">
        <v>92</v>
      </c>
      <c r="J683" s="47">
        <v>76.7292</v>
      </c>
      <c r="K683" s="47" t="s">
        <v>960</v>
      </c>
      <c r="L683" s="47" t="s">
        <v>20</v>
      </c>
    </row>
    <row r="684" spans="1:12">
      <c r="A684" s="47">
        <v>683</v>
      </c>
      <c r="B684" s="47">
        <v>0</v>
      </c>
      <c r="C684" s="47">
        <v>3</v>
      </c>
      <c r="D684" s="47" t="s">
        <v>961</v>
      </c>
      <c r="E684" s="47" t="s">
        <v>13</v>
      </c>
      <c r="F684" s="47">
        <v>20</v>
      </c>
      <c r="G684" s="47">
        <v>0</v>
      </c>
      <c r="H684" s="47">
        <v>0</v>
      </c>
      <c r="I684" s="47">
        <v>6563</v>
      </c>
      <c r="J684" s="47">
        <v>9.225</v>
      </c>
      <c r="L684" s="47" t="s">
        <v>15</v>
      </c>
    </row>
    <row r="685" spans="1:12">
      <c r="A685" s="47">
        <v>684</v>
      </c>
      <c r="B685" s="47">
        <v>0</v>
      </c>
      <c r="C685" s="47">
        <v>3</v>
      </c>
      <c r="D685" s="47" t="s">
        <v>962</v>
      </c>
      <c r="E685" s="47" t="s">
        <v>13</v>
      </c>
      <c r="F685" s="47">
        <v>14</v>
      </c>
      <c r="G685" s="47">
        <v>5</v>
      </c>
      <c r="H685" s="47">
        <v>2</v>
      </c>
      <c r="I685" s="47" t="s">
        <v>105</v>
      </c>
      <c r="J685" s="47">
        <v>46.9</v>
      </c>
      <c r="L685" s="47" t="s">
        <v>15</v>
      </c>
    </row>
    <row r="686" spans="1:12">
      <c r="A686" s="47">
        <v>685</v>
      </c>
      <c r="B686" s="47">
        <v>0</v>
      </c>
      <c r="C686" s="47">
        <v>2</v>
      </c>
      <c r="D686" s="47" t="s">
        <v>963</v>
      </c>
      <c r="E686" s="47" t="s">
        <v>13</v>
      </c>
      <c r="F686" s="47">
        <v>60</v>
      </c>
      <c r="G686" s="47">
        <v>1</v>
      </c>
      <c r="H686" s="47">
        <v>1</v>
      </c>
      <c r="I686" s="47">
        <v>29750</v>
      </c>
      <c r="J686" s="47">
        <v>39</v>
      </c>
      <c r="L686" s="47" t="s">
        <v>15</v>
      </c>
    </row>
    <row r="687" spans="1:12">
      <c r="A687" s="47">
        <v>686</v>
      </c>
      <c r="B687" s="47">
        <v>0</v>
      </c>
      <c r="C687" s="47">
        <v>2</v>
      </c>
      <c r="D687" s="47" t="s">
        <v>964</v>
      </c>
      <c r="E687" s="47" t="s">
        <v>13</v>
      </c>
      <c r="F687" s="47">
        <v>25</v>
      </c>
      <c r="G687" s="47">
        <v>1</v>
      </c>
      <c r="H687" s="47">
        <v>2</v>
      </c>
      <c r="I687" s="47" t="s">
        <v>80</v>
      </c>
      <c r="J687" s="47">
        <v>41.5792</v>
      </c>
      <c r="L687" s="47" t="s">
        <v>20</v>
      </c>
    </row>
    <row r="688" spans="1:12">
      <c r="A688" s="47">
        <v>687</v>
      </c>
      <c r="B688" s="47">
        <v>0</v>
      </c>
      <c r="C688" s="47">
        <v>3</v>
      </c>
      <c r="D688" s="47" t="s">
        <v>965</v>
      </c>
      <c r="E688" s="47" t="s">
        <v>13</v>
      </c>
      <c r="F688" s="47">
        <v>14</v>
      </c>
      <c r="G688" s="47">
        <v>4</v>
      </c>
      <c r="H688" s="47">
        <v>1</v>
      </c>
      <c r="I688" s="47">
        <v>3101295</v>
      </c>
      <c r="J688" s="47">
        <v>39.6875</v>
      </c>
      <c r="L688" s="47" t="s">
        <v>15</v>
      </c>
    </row>
    <row r="689" spans="1:12">
      <c r="A689" s="47">
        <v>688</v>
      </c>
      <c r="B689" s="47">
        <v>0</v>
      </c>
      <c r="C689" s="47">
        <v>3</v>
      </c>
      <c r="D689" s="47" t="s">
        <v>966</v>
      </c>
      <c r="E689" s="47" t="s">
        <v>13</v>
      </c>
      <c r="F689" s="47">
        <v>19</v>
      </c>
      <c r="G689" s="47">
        <v>0</v>
      </c>
      <c r="H689" s="47">
        <v>0</v>
      </c>
      <c r="I689" s="47">
        <v>349228</v>
      </c>
      <c r="J689" s="47">
        <v>10.1708</v>
      </c>
      <c r="L689" s="47" t="s">
        <v>15</v>
      </c>
    </row>
    <row r="690" spans="1:12">
      <c r="A690" s="47">
        <v>689</v>
      </c>
      <c r="B690" s="47">
        <v>0</v>
      </c>
      <c r="C690" s="47">
        <v>3</v>
      </c>
      <c r="D690" s="47" t="s">
        <v>967</v>
      </c>
      <c r="E690" s="47" t="s">
        <v>13</v>
      </c>
      <c r="F690" s="47">
        <v>18</v>
      </c>
      <c r="G690" s="47">
        <v>0</v>
      </c>
      <c r="H690" s="47">
        <v>0</v>
      </c>
      <c r="I690" s="47">
        <v>350036</v>
      </c>
      <c r="J690" s="47">
        <v>7.7958</v>
      </c>
      <c r="L690" s="47" t="s">
        <v>15</v>
      </c>
    </row>
    <row r="691" spans="1:12">
      <c r="A691" s="47">
        <v>690</v>
      </c>
      <c r="B691" s="47">
        <v>1</v>
      </c>
      <c r="C691" s="47">
        <v>1</v>
      </c>
      <c r="D691" s="47" t="s">
        <v>968</v>
      </c>
      <c r="E691" s="47" t="s">
        <v>17</v>
      </c>
      <c r="F691" s="47">
        <v>15</v>
      </c>
      <c r="G691" s="47">
        <v>0</v>
      </c>
      <c r="H691" s="47">
        <v>1</v>
      </c>
      <c r="I691" s="47">
        <v>24160</v>
      </c>
      <c r="J691" s="47">
        <v>211.3375</v>
      </c>
      <c r="K691" s="47" t="s">
        <v>969</v>
      </c>
      <c r="L691" s="47" t="s">
        <v>15</v>
      </c>
    </row>
    <row r="692" spans="1:12">
      <c r="A692" s="47">
        <v>691</v>
      </c>
      <c r="B692" s="47">
        <v>1</v>
      </c>
      <c r="C692" s="47">
        <v>1</v>
      </c>
      <c r="D692" s="47" t="s">
        <v>970</v>
      </c>
      <c r="E692" s="47" t="s">
        <v>13</v>
      </c>
      <c r="F692" s="47">
        <v>31</v>
      </c>
      <c r="G692" s="47">
        <v>1</v>
      </c>
      <c r="H692" s="47">
        <v>0</v>
      </c>
      <c r="I692" s="47">
        <v>17474</v>
      </c>
      <c r="J692" s="47">
        <v>57</v>
      </c>
      <c r="K692" s="47" t="s">
        <v>971</v>
      </c>
      <c r="L692" s="47" t="s">
        <v>15</v>
      </c>
    </row>
    <row r="693" spans="1:12">
      <c r="A693" s="47">
        <v>692</v>
      </c>
      <c r="B693" s="47">
        <v>1</v>
      </c>
      <c r="C693" s="47">
        <v>3</v>
      </c>
      <c r="D693" s="47" t="s">
        <v>972</v>
      </c>
      <c r="E693" s="47" t="s">
        <v>17</v>
      </c>
      <c r="F693" s="47">
        <v>4</v>
      </c>
      <c r="G693" s="47">
        <v>0</v>
      </c>
      <c r="H693" s="47">
        <v>1</v>
      </c>
      <c r="I693" s="47">
        <v>349256</v>
      </c>
      <c r="J693" s="47">
        <v>13.4167</v>
      </c>
      <c r="L693" s="47" t="s">
        <v>20</v>
      </c>
    </row>
    <row r="694" spans="1:12">
      <c r="A694" s="47">
        <v>693</v>
      </c>
      <c r="B694" s="47">
        <v>1</v>
      </c>
      <c r="C694" s="47">
        <v>3</v>
      </c>
      <c r="D694" s="47" t="s">
        <v>973</v>
      </c>
      <c r="E694" s="47" t="s">
        <v>13</v>
      </c>
      <c r="G694" s="47">
        <v>0</v>
      </c>
      <c r="H694" s="47">
        <v>0</v>
      </c>
      <c r="I694" s="47">
        <v>1601</v>
      </c>
      <c r="J694" s="47">
        <v>56.4958</v>
      </c>
      <c r="L694" s="47" t="s">
        <v>15</v>
      </c>
    </row>
    <row r="695" spans="1:12">
      <c r="A695" s="47">
        <v>694</v>
      </c>
      <c r="B695" s="47">
        <v>0</v>
      </c>
      <c r="C695" s="47">
        <v>3</v>
      </c>
      <c r="D695" s="47" t="s">
        <v>974</v>
      </c>
      <c r="E695" s="47" t="s">
        <v>13</v>
      </c>
      <c r="F695" s="47">
        <v>25</v>
      </c>
      <c r="G695" s="47">
        <v>0</v>
      </c>
      <c r="H695" s="47">
        <v>0</v>
      </c>
      <c r="I695" s="47">
        <v>2672</v>
      </c>
      <c r="J695" s="47">
        <v>7.225</v>
      </c>
      <c r="L695" s="47" t="s">
        <v>20</v>
      </c>
    </row>
    <row r="696" spans="1:12">
      <c r="A696" s="47">
        <v>695</v>
      </c>
      <c r="B696" s="47">
        <v>0</v>
      </c>
      <c r="C696" s="47">
        <v>1</v>
      </c>
      <c r="D696" s="47" t="s">
        <v>975</v>
      </c>
      <c r="E696" s="47" t="s">
        <v>13</v>
      </c>
      <c r="F696" s="47">
        <v>60</v>
      </c>
      <c r="G696" s="47">
        <v>0</v>
      </c>
      <c r="H696" s="47">
        <v>0</v>
      </c>
      <c r="I696" s="47">
        <v>113800</v>
      </c>
      <c r="J696" s="47">
        <v>26.55</v>
      </c>
      <c r="L696" s="47" t="s">
        <v>15</v>
      </c>
    </row>
    <row r="697" spans="1:12">
      <c r="A697" s="47">
        <v>696</v>
      </c>
      <c r="B697" s="47">
        <v>0</v>
      </c>
      <c r="C697" s="47">
        <v>2</v>
      </c>
      <c r="D697" s="47" t="s">
        <v>976</v>
      </c>
      <c r="E697" s="47" t="s">
        <v>13</v>
      </c>
      <c r="F697" s="47">
        <v>52</v>
      </c>
      <c r="G697" s="47">
        <v>0</v>
      </c>
      <c r="H697" s="47">
        <v>0</v>
      </c>
      <c r="I697" s="47">
        <v>248731</v>
      </c>
      <c r="J697" s="47">
        <v>13.5</v>
      </c>
      <c r="L697" s="47" t="s">
        <v>15</v>
      </c>
    </row>
    <row r="698" spans="1:12">
      <c r="A698" s="47">
        <v>697</v>
      </c>
      <c r="B698" s="47">
        <v>0</v>
      </c>
      <c r="C698" s="47">
        <v>3</v>
      </c>
      <c r="D698" s="47" t="s">
        <v>977</v>
      </c>
      <c r="E698" s="47" t="s">
        <v>13</v>
      </c>
      <c r="F698" s="47">
        <v>44</v>
      </c>
      <c r="G698" s="47">
        <v>0</v>
      </c>
      <c r="H698" s="47">
        <v>0</v>
      </c>
      <c r="I698" s="47">
        <v>363592</v>
      </c>
      <c r="J698" s="47">
        <v>8.05</v>
      </c>
      <c r="L698" s="47" t="s">
        <v>15</v>
      </c>
    </row>
    <row r="699" spans="1:12">
      <c r="A699" s="47">
        <v>698</v>
      </c>
      <c r="B699" s="47">
        <v>1</v>
      </c>
      <c r="C699" s="47">
        <v>3</v>
      </c>
      <c r="D699" s="47" t="s">
        <v>978</v>
      </c>
      <c r="E699" s="47" t="s">
        <v>17</v>
      </c>
      <c r="G699" s="47">
        <v>0</v>
      </c>
      <c r="H699" s="47">
        <v>0</v>
      </c>
      <c r="I699" s="47">
        <v>35852</v>
      </c>
      <c r="J699" s="47">
        <v>7.7333</v>
      </c>
      <c r="L699" s="47" t="s">
        <v>27</v>
      </c>
    </row>
    <row r="700" spans="1:12">
      <c r="A700" s="47">
        <v>699</v>
      </c>
      <c r="B700" s="47">
        <v>0</v>
      </c>
      <c r="C700" s="47">
        <v>1</v>
      </c>
      <c r="D700" s="47" t="s">
        <v>979</v>
      </c>
      <c r="E700" s="47" t="s">
        <v>13</v>
      </c>
      <c r="F700" s="47">
        <v>49</v>
      </c>
      <c r="G700" s="47">
        <v>1</v>
      </c>
      <c r="H700" s="47">
        <v>1</v>
      </c>
      <c r="I700" s="47">
        <v>17421</v>
      </c>
      <c r="J700" s="47">
        <v>110.8833</v>
      </c>
      <c r="K700" s="47" t="s">
        <v>832</v>
      </c>
      <c r="L700" s="47" t="s">
        <v>20</v>
      </c>
    </row>
    <row r="701" spans="1:12">
      <c r="A701" s="47">
        <v>700</v>
      </c>
      <c r="B701" s="47">
        <v>0</v>
      </c>
      <c r="C701" s="47">
        <v>3</v>
      </c>
      <c r="D701" s="47" t="s">
        <v>980</v>
      </c>
      <c r="E701" s="47" t="s">
        <v>13</v>
      </c>
      <c r="F701" s="47">
        <v>42</v>
      </c>
      <c r="G701" s="47">
        <v>0</v>
      </c>
      <c r="H701" s="47">
        <v>0</v>
      </c>
      <c r="I701" s="47">
        <v>348121</v>
      </c>
      <c r="J701" s="47">
        <v>7.65</v>
      </c>
      <c r="K701" s="47" t="s">
        <v>981</v>
      </c>
      <c r="L701" s="47" t="s">
        <v>15</v>
      </c>
    </row>
    <row r="702" spans="1:12">
      <c r="A702" s="47">
        <v>701</v>
      </c>
      <c r="B702" s="47">
        <v>1</v>
      </c>
      <c r="C702" s="47">
        <v>1</v>
      </c>
      <c r="D702" s="47" t="s">
        <v>982</v>
      </c>
      <c r="E702" s="47" t="s">
        <v>17</v>
      </c>
      <c r="F702" s="47">
        <v>18</v>
      </c>
      <c r="G702" s="47">
        <v>1</v>
      </c>
      <c r="H702" s="47">
        <v>0</v>
      </c>
      <c r="I702" s="47" t="s">
        <v>565</v>
      </c>
      <c r="J702" s="47">
        <v>227.525</v>
      </c>
      <c r="K702" s="47" t="s">
        <v>983</v>
      </c>
      <c r="L702" s="47" t="s">
        <v>20</v>
      </c>
    </row>
    <row r="703" spans="1:12">
      <c r="A703" s="47">
        <v>702</v>
      </c>
      <c r="B703" s="47">
        <v>1</v>
      </c>
      <c r="C703" s="47">
        <v>1</v>
      </c>
      <c r="D703" s="47" t="s">
        <v>984</v>
      </c>
      <c r="E703" s="47" t="s">
        <v>13</v>
      </c>
      <c r="F703" s="47">
        <v>35</v>
      </c>
      <c r="G703" s="47">
        <v>0</v>
      </c>
      <c r="H703" s="47">
        <v>0</v>
      </c>
      <c r="I703" s="47" t="s">
        <v>985</v>
      </c>
      <c r="J703" s="47">
        <v>26.2875</v>
      </c>
      <c r="K703" s="47" t="s">
        <v>986</v>
      </c>
      <c r="L703" s="47" t="s">
        <v>15</v>
      </c>
    </row>
    <row r="704" spans="1:12">
      <c r="A704" s="47">
        <v>703</v>
      </c>
      <c r="B704" s="47">
        <v>0</v>
      </c>
      <c r="C704" s="47">
        <v>3</v>
      </c>
      <c r="D704" s="47" t="s">
        <v>987</v>
      </c>
      <c r="E704" s="47" t="s">
        <v>17</v>
      </c>
      <c r="F704" s="47">
        <v>18</v>
      </c>
      <c r="G704" s="47">
        <v>0</v>
      </c>
      <c r="H704" s="47">
        <v>1</v>
      </c>
      <c r="I704" s="47">
        <v>2691</v>
      </c>
      <c r="J704" s="47">
        <v>14.4542</v>
      </c>
      <c r="L704" s="47" t="s">
        <v>20</v>
      </c>
    </row>
    <row r="705" spans="1:12">
      <c r="A705" s="47">
        <v>704</v>
      </c>
      <c r="B705" s="47">
        <v>0</v>
      </c>
      <c r="C705" s="47">
        <v>3</v>
      </c>
      <c r="D705" s="47" t="s">
        <v>988</v>
      </c>
      <c r="E705" s="47" t="s">
        <v>13</v>
      </c>
      <c r="F705" s="47">
        <v>25</v>
      </c>
      <c r="G705" s="47">
        <v>0</v>
      </c>
      <c r="H705" s="47">
        <v>0</v>
      </c>
      <c r="I705" s="47">
        <v>36864</v>
      </c>
      <c r="J705" s="47">
        <v>7.7417</v>
      </c>
      <c r="L705" s="47" t="s">
        <v>27</v>
      </c>
    </row>
    <row r="706" spans="1:12">
      <c r="A706" s="47">
        <v>705</v>
      </c>
      <c r="B706" s="47">
        <v>0</v>
      </c>
      <c r="C706" s="47">
        <v>3</v>
      </c>
      <c r="D706" s="47" t="s">
        <v>989</v>
      </c>
      <c r="E706" s="47" t="s">
        <v>13</v>
      </c>
      <c r="F706" s="47">
        <v>26</v>
      </c>
      <c r="G706" s="47">
        <v>1</v>
      </c>
      <c r="H706" s="47">
        <v>0</v>
      </c>
      <c r="I706" s="47">
        <v>350025</v>
      </c>
      <c r="J706" s="47">
        <v>7.8542</v>
      </c>
      <c r="L706" s="47" t="s">
        <v>15</v>
      </c>
    </row>
    <row r="707" spans="1:12">
      <c r="A707" s="47">
        <v>706</v>
      </c>
      <c r="B707" s="47">
        <v>0</v>
      </c>
      <c r="C707" s="47">
        <v>2</v>
      </c>
      <c r="D707" s="47" t="s">
        <v>990</v>
      </c>
      <c r="E707" s="47" t="s">
        <v>13</v>
      </c>
      <c r="F707" s="47">
        <v>39</v>
      </c>
      <c r="G707" s="47">
        <v>0</v>
      </c>
      <c r="H707" s="47">
        <v>0</v>
      </c>
      <c r="I707" s="47">
        <v>250655</v>
      </c>
      <c r="J707" s="47">
        <v>26</v>
      </c>
      <c r="L707" s="47" t="s">
        <v>15</v>
      </c>
    </row>
    <row r="708" spans="1:12">
      <c r="A708" s="47">
        <v>707</v>
      </c>
      <c r="B708" s="47">
        <v>1</v>
      </c>
      <c r="C708" s="47">
        <v>2</v>
      </c>
      <c r="D708" s="47" t="s">
        <v>991</v>
      </c>
      <c r="E708" s="47" t="s">
        <v>17</v>
      </c>
      <c r="F708" s="47">
        <v>45</v>
      </c>
      <c r="G708" s="47">
        <v>0</v>
      </c>
      <c r="H708" s="47">
        <v>0</v>
      </c>
      <c r="I708" s="47">
        <v>223596</v>
      </c>
      <c r="J708" s="47">
        <v>13.5</v>
      </c>
      <c r="L708" s="47" t="s">
        <v>15</v>
      </c>
    </row>
    <row r="709" spans="1:12">
      <c r="A709" s="47">
        <v>708</v>
      </c>
      <c r="B709" s="47">
        <v>1</v>
      </c>
      <c r="C709" s="47">
        <v>1</v>
      </c>
      <c r="D709" s="47" t="s">
        <v>992</v>
      </c>
      <c r="E709" s="47" t="s">
        <v>13</v>
      </c>
      <c r="F709" s="47">
        <v>42</v>
      </c>
      <c r="G709" s="47">
        <v>0</v>
      </c>
      <c r="H709" s="47">
        <v>0</v>
      </c>
      <c r="I709" s="47" t="s">
        <v>993</v>
      </c>
      <c r="J709" s="47">
        <v>26.2875</v>
      </c>
      <c r="K709" s="47" t="s">
        <v>986</v>
      </c>
      <c r="L709" s="47" t="s">
        <v>15</v>
      </c>
    </row>
    <row r="710" spans="1:12">
      <c r="A710" s="47">
        <v>709</v>
      </c>
      <c r="B710" s="47">
        <v>1</v>
      </c>
      <c r="C710" s="47">
        <v>1</v>
      </c>
      <c r="D710" s="47" t="s">
        <v>994</v>
      </c>
      <c r="E710" s="47" t="s">
        <v>17</v>
      </c>
      <c r="F710" s="47">
        <v>22</v>
      </c>
      <c r="G710" s="47">
        <v>0</v>
      </c>
      <c r="H710" s="47">
        <v>0</v>
      </c>
      <c r="I710" s="47">
        <v>113781</v>
      </c>
      <c r="J710" s="47">
        <v>151.55</v>
      </c>
      <c r="L710" s="47" t="s">
        <v>15</v>
      </c>
    </row>
    <row r="711" spans="1:12">
      <c r="A711" s="47">
        <v>710</v>
      </c>
      <c r="B711" s="47">
        <v>1</v>
      </c>
      <c r="C711" s="47">
        <v>3</v>
      </c>
      <c r="D711" s="47" t="s">
        <v>995</v>
      </c>
      <c r="E711" s="47" t="s">
        <v>13</v>
      </c>
      <c r="G711" s="47">
        <v>1</v>
      </c>
      <c r="H711" s="47">
        <v>1</v>
      </c>
      <c r="I711" s="47">
        <v>2661</v>
      </c>
      <c r="J711" s="47">
        <v>15.2458</v>
      </c>
      <c r="L711" s="47" t="s">
        <v>20</v>
      </c>
    </row>
    <row r="712" spans="1:12">
      <c r="A712" s="47">
        <v>711</v>
      </c>
      <c r="B712" s="47">
        <v>1</v>
      </c>
      <c r="C712" s="47">
        <v>1</v>
      </c>
      <c r="D712" s="47" t="s">
        <v>996</v>
      </c>
      <c r="E712" s="47" t="s">
        <v>17</v>
      </c>
      <c r="F712" s="47">
        <v>24</v>
      </c>
      <c r="G712" s="47">
        <v>0</v>
      </c>
      <c r="H712" s="47">
        <v>0</v>
      </c>
      <c r="I712" s="47" t="s">
        <v>997</v>
      </c>
      <c r="J712" s="47">
        <v>49.5042</v>
      </c>
      <c r="K712" s="47" t="s">
        <v>998</v>
      </c>
      <c r="L712" s="47" t="s">
        <v>20</v>
      </c>
    </row>
    <row r="713" spans="1:12">
      <c r="A713" s="47">
        <v>712</v>
      </c>
      <c r="B713" s="47">
        <v>0</v>
      </c>
      <c r="C713" s="47">
        <v>1</v>
      </c>
      <c r="D713" s="47" t="s">
        <v>999</v>
      </c>
      <c r="E713" s="47" t="s">
        <v>13</v>
      </c>
      <c r="G713" s="47">
        <v>0</v>
      </c>
      <c r="H713" s="47">
        <v>0</v>
      </c>
      <c r="I713" s="47">
        <v>113028</v>
      </c>
      <c r="J713" s="47">
        <v>26.55</v>
      </c>
      <c r="K713" s="47" t="s">
        <v>500</v>
      </c>
      <c r="L713" s="47" t="s">
        <v>15</v>
      </c>
    </row>
    <row r="714" spans="1:12">
      <c r="A714" s="47">
        <v>713</v>
      </c>
      <c r="B714" s="47">
        <v>1</v>
      </c>
      <c r="C714" s="47">
        <v>1</v>
      </c>
      <c r="D714" s="47" t="s">
        <v>1000</v>
      </c>
      <c r="E714" s="47" t="s">
        <v>13</v>
      </c>
      <c r="F714" s="47">
        <v>48</v>
      </c>
      <c r="G714" s="47">
        <v>1</v>
      </c>
      <c r="H714" s="47">
        <v>0</v>
      </c>
      <c r="I714" s="47">
        <v>19996</v>
      </c>
      <c r="J714" s="47">
        <v>52</v>
      </c>
      <c r="K714" s="47" t="s">
        <v>943</v>
      </c>
      <c r="L714" s="47" t="s">
        <v>15</v>
      </c>
    </row>
    <row r="715" spans="1:12">
      <c r="A715" s="47">
        <v>714</v>
      </c>
      <c r="B715" s="47">
        <v>0</v>
      </c>
      <c r="C715" s="47">
        <v>3</v>
      </c>
      <c r="D715" s="47" t="s">
        <v>1001</v>
      </c>
      <c r="E715" s="47" t="s">
        <v>13</v>
      </c>
      <c r="F715" s="47">
        <v>29</v>
      </c>
      <c r="G715" s="47">
        <v>0</v>
      </c>
      <c r="H715" s="47">
        <v>0</v>
      </c>
      <c r="I715" s="47">
        <v>7545</v>
      </c>
      <c r="J715" s="47">
        <v>9.4833</v>
      </c>
      <c r="L715" s="47" t="s">
        <v>15</v>
      </c>
    </row>
    <row r="716" spans="1:12">
      <c r="A716" s="47">
        <v>715</v>
      </c>
      <c r="B716" s="47">
        <v>0</v>
      </c>
      <c r="C716" s="47">
        <v>2</v>
      </c>
      <c r="D716" s="47" t="s">
        <v>1002</v>
      </c>
      <c r="E716" s="47" t="s">
        <v>13</v>
      </c>
      <c r="F716" s="47">
        <v>52</v>
      </c>
      <c r="G716" s="47">
        <v>0</v>
      </c>
      <c r="H716" s="47">
        <v>0</v>
      </c>
      <c r="I716" s="47">
        <v>250647</v>
      </c>
      <c r="J716" s="47">
        <v>13</v>
      </c>
      <c r="L716" s="47" t="s">
        <v>15</v>
      </c>
    </row>
    <row r="717" spans="1:12">
      <c r="A717" s="47">
        <v>716</v>
      </c>
      <c r="B717" s="47">
        <v>0</v>
      </c>
      <c r="C717" s="47">
        <v>3</v>
      </c>
      <c r="D717" s="47" t="s">
        <v>1003</v>
      </c>
      <c r="E717" s="47" t="s">
        <v>13</v>
      </c>
      <c r="F717" s="47">
        <v>19</v>
      </c>
      <c r="G717" s="47">
        <v>0</v>
      </c>
      <c r="H717" s="47">
        <v>0</v>
      </c>
      <c r="I717" s="47">
        <v>348124</v>
      </c>
      <c r="J717" s="47">
        <v>7.65</v>
      </c>
      <c r="K717" s="47" t="s">
        <v>130</v>
      </c>
      <c r="L717" s="47" t="s">
        <v>15</v>
      </c>
    </row>
    <row r="718" spans="1:12">
      <c r="A718" s="47">
        <v>717</v>
      </c>
      <c r="B718" s="47">
        <v>1</v>
      </c>
      <c r="C718" s="47">
        <v>1</v>
      </c>
      <c r="D718" s="47" t="s">
        <v>1004</v>
      </c>
      <c r="E718" s="47" t="s">
        <v>17</v>
      </c>
      <c r="F718" s="47">
        <v>38</v>
      </c>
      <c r="G718" s="47">
        <v>0</v>
      </c>
      <c r="H718" s="47">
        <v>0</v>
      </c>
      <c r="I718" s="47" t="s">
        <v>565</v>
      </c>
      <c r="J718" s="47">
        <v>227.525</v>
      </c>
      <c r="K718" s="47" t="s">
        <v>1005</v>
      </c>
      <c r="L718" s="47" t="s">
        <v>20</v>
      </c>
    </row>
    <row r="719" spans="1:12">
      <c r="A719" s="47">
        <v>718</v>
      </c>
      <c r="B719" s="47">
        <v>1</v>
      </c>
      <c r="C719" s="47">
        <v>2</v>
      </c>
      <c r="D719" s="47" t="s">
        <v>1006</v>
      </c>
      <c r="E719" s="47" t="s">
        <v>17</v>
      </c>
      <c r="F719" s="47">
        <v>27</v>
      </c>
      <c r="G719" s="47">
        <v>0</v>
      </c>
      <c r="H719" s="47">
        <v>0</v>
      </c>
      <c r="I719" s="47">
        <v>34218</v>
      </c>
      <c r="J719" s="47">
        <v>10.5</v>
      </c>
      <c r="K719" s="47" t="s">
        <v>195</v>
      </c>
      <c r="L719" s="47" t="s">
        <v>15</v>
      </c>
    </row>
    <row r="720" spans="1:12">
      <c r="A720" s="47">
        <v>719</v>
      </c>
      <c r="B720" s="47">
        <v>0</v>
      </c>
      <c r="C720" s="47">
        <v>3</v>
      </c>
      <c r="D720" s="47" t="s">
        <v>1007</v>
      </c>
      <c r="E720" s="47" t="s">
        <v>13</v>
      </c>
      <c r="G720" s="47">
        <v>0</v>
      </c>
      <c r="H720" s="47">
        <v>0</v>
      </c>
      <c r="I720" s="47">
        <v>36568</v>
      </c>
      <c r="J720" s="47">
        <v>15.5</v>
      </c>
      <c r="L720" s="47" t="s">
        <v>27</v>
      </c>
    </row>
    <row r="721" spans="1:12">
      <c r="A721" s="47">
        <v>720</v>
      </c>
      <c r="B721" s="47">
        <v>0</v>
      </c>
      <c r="C721" s="47">
        <v>3</v>
      </c>
      <c r="D721" s="47" t="s">
        <v>1008</v>
      </c>
      <c r="E721" s="47" t="s">
        <v>13</v>
      </c>
      <c r="F721" s="47">
        <v>33</v>
      </c>
      <c r="G721" s="47">
        <v>0</v>
      </c>
      <c r="H721" s="47">
        <v>0</v>
      </c>
      <c r="I721" s="47">
        <v>347062</v>
      </c>
      <c r="J721" s="47">
        <v>7.775</v>
      </c>
      <c r="L721" s="47" t="s">
        <v>15</v>
      </c>
    </row>
    <row r="722" spans="1:12">
      <c r="A722" s="47">
        <v>721</v>
      </c>
      <c r="B722" s="47">
        <v>1</v>
      </c>
      <c r="C722" s="47">
        <v>2</v>
      </c>
      <c r="D722" s="47" t="s">
        <v>1009</v>
      </c>
      <c r="E722" s="47" t="s">
        <v>17</v>
      </c>
      <c r="F722" s="47">
        <v>6</v>
      </c>
      <c r="G722" s="47">
        <v>0</v>
      </c>
      <c r="H722" s="47">
        <v>1</v>
      </c>
      <c r="I722" s="47">
        <v>248727</v>
      </c>
      <c r="J722" s="47">
        <v>33</v>
      </c>
      <c r="L722" s="47" t="s">
        <v>15</v>
      </c>
    </row>
    <row r="723" spans="1:12">
      <c r="A723" s="47">
        <v>722</v>
      </c>
      <c r="B723" s="47">
        <v>0</v>
      </c>
      <c r="C723" s="47">
        <v>3</v>
      </c>
      <c r="D723" s="47" t="s">
        <v>1010</v>
      </c>
      <c r="E723" s="47" t="s">
        <v>13</v>
      </c>
      <c r="F723" s="47">
        <v>17</v>
      </c>
      <c r="G723" s="47">
        <v>1</v>
      </c>
      <c r="H723" s="47">
        <v>0</v>
      </c>
      <c r="I723" s="47">
        <v>350048</v>
      </c>
      <c r="J723" s="47">
        <v>7.0542</v>
      </c>
      <c r="L723" s="47" t="s">
        <v>15</v>
      </c>
    </row>
    <row r="724" spans="1:12">
      <c r="A724" s="47">
        <v>723</v>
      </c>
      <c r="B724" s="47">
        <v>0</v>
      </c>
      <c r="C724" s="47">
        <v>2</v>
      </c>
      <c r="D724" s="47" t="s">
        <v>1011</v>
      </c>
      <c r="E724" s="47" t="s">
        <v>13</v>
      </c>
      <c r="F724" s="47">
        <v>34</v>
      </c>
      <c r="G724" s="47">
        <v>0</v>
      </c>
      <c r="H724" s="47">
        <v>0</v>
      </c>
      <c r="I724" s="47">
        <v>12233</v>
      </c>
      <c r="J724" s="47">
        <v>13</v>
      </c>
      <c r="L724" s="47" t="s">
        <v>15</v>
      </c>
    </row>
    <row r="725" spans="1:12">
      <c r="A725" s="47">
        <v>724</v>
      </c>
      <c r="B725" s="47">
        <v>0</v>
      </c>
      <c r="C725" s="47">
        <v>2</v>
      </c>
      <c r="D725" s="47" t="s">
        <v>1012</v>
      </c>
      <c r="E725" s="47" t="s">
        <v>13</v>
      </c>
      <c r="F725" s="47">
        <v>50</v>
      </c>
      <c r="G725" s="47">
        <v>0</v>
      </c>
      <c r="H725" s="47">
        <v>0</v>
      </c>
      <c r="I725" s="47">
        <v>250643</v>
      </c>
      <c r="J725" s="47">
        <v>13</v>
      </c>
      <c r="L725" s="47" t="s">
        <v>15</v>
      </c>
    </row>
    <row r="726" spans="1:12">
      <c r="A726" s="47">
        <v>725</v>
      </c>
      <c r="B726" s="47">
        <v>1</v>
      </c>
      <c r="C726" s="47">
        <v>1</v>
      </c>
      <c r="D726" s="47" t="s">
        <v>1013</v>
      </c>
      <c r="E726" s="47" t="s">
        <v>13</v>
      </c>
      <c r="F726" s="47">
        <v>27</v>
      </c>
      <c r="G726" s="47">
        <v>1</v>
      </c>
      <c r="H726" s="47">
        <v>0</v>
      </c>
      <c r="I726" s="47">
        <v>113806</v>
      </c>
      <c r="J726" s="47">
        <v>53.1</v>
      </c>
      <c r="K726" s="47" t="s">
        <v>1014</v>
      </c>
      <c r="L726" s="47" t="s">
        <v>15</v>
      </c>
    </row>
    <row r="727" spans="1:12">
      <c r="A727" s="47">
        <v>726</v>
      </c>
      <c r="B727" s="47">
        <v>0</v>
      </c>
      <c r="C727" s="47">
        <v>3</v>
      </c>
      <c r="D727" s="47" t="s">
        <v>1015</v>
      </c>
      <c r="E727" s="47" t="s">
        <v>13</v>
      </c>
      <c r="F727" s="47">
        <v>20</v>
      </c>
      <c r="G727" s="47">
        <v>0</v>
      </c>
      <c r="H727" s="47">
        <v>0</v>
      </c>
      <c r="I727" s="47">
        <v>315094</v>
      </c>
      <c r="J727" s="47">
        <v>8.6625</v>
      </c>
      <c r="L727" s="47" t="s">
        <v>15</v>
      </c>
    </row>
    <row r="728" spans="1:12">
      <c r="A728" s="47">
        <v>727</v>
      </c>
      <c r="B728" s="47">
        <v>1</v>
      </c>
      <c r="C728" s="47">
        <v>2</v>
      </c>
      <c r="D728" s="47" t="s">
        <v>1016</v>
      </c>
      <c r="E728" s="47" t="s">
        <v>17</v>
      </c>
      <c r="F728" s="47">
        <v>30</v>
      </c>
      <c r="G728" s="47">
        <v>3</v>
      </c>
      <c r="H728" s="47">
        <v>0</v>
      </c>
      <c r="I728" s="47">
        <v>31027</v>
      </c>
      <c r="J728" s="47">
        <v>21</v>
      </c>
      <c r="L728" s="47" t="s">
        <v>15</v>
      </c>
    </row>
    <row r="729" spans="1:12">
      <c r="A729" s="47">
        <v>728</v>
      </c>
      <c r="B729" s="47">
        <v>1</v>
      </c>
      <c r="C729" s="47">
        <v>3</v>
      </c>
      <c r="D729" s="47" t="s">
        <v>1017</v>
      </c>
      <c r="E729" s="47" t="s">
        <v>17</v>
      </c>
      <c r="G729" s="47">
        <v>0</v>
      </c>
      <c r="H729" s="47">
        <v>0</v>
      </c>
      <c r="I729" s="47">
        <v>36866</v>
      </c>
      <c r="J729" s="47">
        <v>7.7375</v>
      </c>
      <c r="L729" s="47" t="s">
        <v>27</v>
      </c>
    </row>
    <row r="730" spans="1:12">
      <c r="A730" s="47">
        <v>729</v>
      </c>
      <c r="B730" s="47">
        <v>0</v>
      </c>
      <c r="C730" s="47">
        <v>2</v>
      </c>
      <c r="D730" s="47" t="s">
        <v>1018</v>
      </c>
      <c r="E730" s="47" t="s">
        <v>13</v>
      </c>
      <c r="F730" s="47">
        <v>25</v>
      </c>
      <c r="G730" s="47">
        <v>1</v>
      </c>
      <c r="H730" s="47">
        <v>0</v>
      </c>
      <c r="I730" s="47">
        <v>236853</v>
      </c>
      <c r="J730" s="47">
        <v>26</v>
      </c>
      <c r="L730" s="47" t="s">
        <v>15</v>
      </c>
    </row>
    <row r="731" spans="1:12">
      <c r="A731" s="47">
        <v>730</v>
      </c>
      <c r="B731" s="47">
        <v>0</v>
      </c>
      <c r="C731" s="47">
        <v>3</v>
      </c>
      <c r="D731" s="47" t="s">
        <v>1019</v>
      </c>
      <c r="E731" s="47" t="s">
        <v>17</v>
      </c>
      <c r="F731" s="47">
        <v>25</v>
      </c>
      <c r="G731" s="47">
        <v>1</v>
      </c>
      <c r="H731" s="47">
        <v>0</v>
      </c>
      <c r="I731" s="47" t="s">
        <v>1020</v>
      </c>
      <c r="J731" s="47">
        <v>7.925</v>
      </c>
      <c r="L731" s="47" t="s">
        <v>15</v>
      </c>
    </row>
    <row r="732" spans="1:12">
      <c r="A732" s="47">
        <v>731</v>
      </c>
      <c r="B732" s="47">
        <v>1</v>
      </c>
      <c r="C732" s="47">
        <v>1</v>
      </c>
      <c r="D732" s="47" t="s">
        <v>1021</v>
      </c>
      <c r="E732" s="47" t="s">
        <v>17</v>
      </c>
      <c r="F732" s="47">
        <v>29</v>
      </c>
      <c r="G732" s="47">
        <v>0</v>
      </c>
      <c r="H732" s="47">
        <v>0</v>
      </c>
      <c r="I732" s="47">
        <v>24160</v>
      </c>
      <c r="J732" s="47">
        <v>211.3375</v>
      </c>
      <c r="K732" s="47" t="s">
        <v>969</v>
      </c>
      <c r="L732" s="47" t="s">
        <v>15</v>
      </c>
    </row>
    <row r="733" spans="1:12">
      <c r="A733" s="47">
        <v>732</v>
      </c>
      <c r="B733" s="47">
        <v>0</v>
      </c>
      <c r="C733" s="47">
        <v>3</v>
      </c>
      <c r="D733" s="47" t="s">
        <v>1022</v>
      </c>
      <c r="E733" s="47" t="s">
        <v>13</v>
      </c>
      <c r="F733" s="47">
        <v>11</v>
      </c>
      <c r="G733" s="47">
        <v>0</v>
      </c>
      <c r="H733" s="47">
        <v>0</v>
      </c>
      <c r="I733" s="47">
        <v>2699</v>
      </c>
      <c r="J733" s="47">
        <v>18.7875</v>
      </c>
      <c r="L733" s="47" t="s">
        <v>20</v>
      </c>
    </row>
    <row r="734" spans="1:12">
      <c r="A734" s="47">
        <v>733</v>
      </c>
      <c r="B734" s="47">
        <v>0</v>
      </c>
      <c r="C734" s="47">
        <v>2</v>
      </c>
      <c r="D734" s="47" t="s">
        <v>1023</v>
      </c>
      <c r="E734" s="47" t="s">
        <v>13</v>
      </c>
      <c r="G734" s="47">
        <v>0</v>
      </c>
      <c r="H734" s="47">
        <v>0</v>
      </c>
      <c r="I734" s="47">
        <v>239855</v>
      </c>
      <c r="J734" s="47">
        <v>0</v>
      </c>
      <c r="L734" s="47" t="s">
        <v>15</v>
      </c>
    </row>
    <row r="735" spans="1:12">
      <c r="A735" s="47">
        <v>734</v>
      </c>
      <c r="B735" s="47">
        <v>0</v>
      </c>
      <c r="C735" s="47">
        <v>2</v>
      </c>
      <c r="D735" s="47" t="s">
        <v>1024</v>
      </c>
      <c r="E735" s="47" t="s">
        <v>13</v>
      </c>
      <c r="F735" s="47">
        <v>23</v>
      </c>
      <c r="G735" s="47">
        <v>0</v>
      </c>
      <c r="H735" s="47">
        <v>0</v>
      </c>
      <c r="I735" s="47">
        <v>28425</v>
      </c>
      <c r="J735" s="47">
        <v>13</v>
      </c>
      <c r="L735" s="47" t="s">
        <v>15</v>
      </c>
    </row>
    <row r="736" spans="1:12">
      <c r="A736" s="47">
        <v>735</v>
      </c>
      <c r="B736" s="47">
        <v>0</v>
      </c>
      <c r="C736" s="47">
        <v>2</v>
      </c>
      <c r="D736" s="47" t="s">
        <v>1025</v>
      </c>
      <c r="E736" s="47" t="s">
        <v>13</v>
      </c>
      <c r="F736" s="47">
        <v>23</v>
      </c>
      <c r="G736" s="47">
        <v>0</v>
      </c>
      <c r="H736" s="47">
        <v>0</v>
      </c>
      <c r="I736" s="47">
        <v>233639</v>
      </c>
      <c r="J736" s="47">
        <v>13</v>
      </c>
      <c r="L736" s="47" t="s">
        <v>15</v>
      </c>
    </row>
    <row r="737" spans="1:12">
      <c r="A737" s="47">
        <v>736</v>
      </c>
      <c r="B737" s="47">
        <v>0</v>
      </c>
      <c r="C737" s="47">
        <v>3</v>
      </c>
      <c r="D737" s="47" t="s">
        <v>1026</v>
      </c>
      <c r="E737" s="47" t="s">
        <v>13</v>
      </c>
      <c r="F737" s="47">
        <v>28.5</v>
      </c>
      <c r="G737" s="47">
        <v>0</v>
      </c>
      <c r="H737" s="47">
        <v>0</v>
      </c>
      <c r="I737" s="47">
        <v>54636</v>
      </c>
      <c r="J737" s="47">
        <v>16.1</v>
      </c>
      <c r="L737" s="47" t="s">
        <v>15</v>
      </c>
    </row>
    <row r="738" spans="1:12">
      <c r="A738" s="47">
        <v>737</v>
      </c>
      <c r="B738" s="47">
        <v>0</v>
      </c>
      <c r="C738" s="47">
        <v>3</v>
      </c>
      <c r="D738" s="47" t="s">
        <v>1027</v>
      </c>
      <c r="E738" s="47" t="s">
        <v>17</v>
      </c>
      <c r="F738" s="47">
        <v>48</v>
      </c>
      <c r="G738" s="47">
        <v>1</v>
      </c>
      <c r="H738" s="47">
        <v>3</v>
      </c>
      <c r="I738" s="47" t="s">
        <v>143</v>
      </c>
      <c r="J738" s="47">
        <v>34.375</v>
      </c>
      <c r="L738" s="47" t="s">
        <v>15</v>
      </c>
    </row>
    <row r="739" spans="1:12">
      <c r="A739" s="47">
        <v>738</v>
      </c>
      <c r="B739" s="47">
        <v>1</v>
      </c>
      <c r="C739" s="47">
        <v>1</v>
      </c>
      <c r="D739" s="47" t="s">
        <v>1028</v>
      </c>
      <c r="E739" s="47" t="s">
        <v>13</v>
      </c>
      <c r="F739" s="47">
        <v>35</v>
      </c>
      <c r="G739" s="47">
        <v>0</v>
      </c>
      <c r="H739" s="47">
        <v>0</v>
      </c>
      <c r="I739" s="47" t="s">
        <v>392</v>
      </c>
      <c r="J739" s="47">
        <v>512.3292</v>
      </c>
      <c r="K739" s="47" t="s">
        <v>1029</v>
      </c>
      <c r="L739" s="47" t="s">
        <v>20</v>
      </c>
    </row>
    <row r="740" spans="1:12">
      <c r="A740" s="47">
        <v>739</v>
      </c>
      <c r="B740" s="47">
        <v>0</v>
      </c>
      <c r="C740" s="47">
        <v>3</v>
      </c>
      <c r="D740" s="47" t="s">
        <v>1030</v>
      </c>
      <c r="E740" s="47" t="s">
        <v>13</v>
      </c>
      <c r="G740" s="47">
        <v>0</v>
      </c>
      <c r="H740" s="47">
        <v>0</v>
      </c>
      <c r="I740" s="47">
        <v>349201</v>
      </c>
      <c r="J740" s="47">
        <v>7.8958</v>
      </c>
      <c r="L740" s="47" t="s">
        <v>15</v>
      </c>
    </row>
    <row r="741" spans="1:12">
      <c r="A741" s="47">
        <v>740</v>
      </c>
      <c r="B741" s="47">
        <v>0</v>
      </c>
      <c r="C741" s="47">
        <v>3</v>
      </c>
      <c r="D741" s="47" t="s">
        <v>1031</v>
      </c>
      <c r="E741" s="47" t="s">
        <v>13</v>
      </c>
      <c r="G741" s="47">
        <v>0</v>
      </c>
      <c r="H741" s="47">
        <v>0</v>
      </c>
      <c r="I741" s="47">
        <v>349218</v>
      </c>
      <c r="J741" s="47">
        <v>7.8958</v>
      </c>
      <c r="L741" s="47" t="s">
        <v>15</v>
      </c>
    </row>
    <row r="742" spans="1:12">
      <c r="A742" s="47">
        <v>741</v>
      </c>
      <c r="B742" s="47">
        <v>1</v>
      </c>
      <c r="C742" s="47">
        <v>1</v>
      </c>
      <c r="D742" s="47" t="s">
        <v>1032</v>
      </c>
      <c r="E742" s="47" t="s">
        <v>13</v>
      </c>
      <c r="G742" s="47">
        <v>0</v>
      </c>
      <c r="H742" s="47">
        <v>0</v>
      </c>
      <c r="I742" s="47">
        <v>16988</v>
      </c>
      <c r="J742" s="47">
        <v>30</v>
      </c>
      <c r="K742" s="47" t="s">
        <v>1033</v>
      </c>
      <c r="L742" s="47" t="s">
        <v>15</v>
      </c>
    </row>
    <row r="743" spans="1:12">
      <c r="A743" s="47">
        <v>742</v>
      </c>
      <c r="B743" s="47">
        <v>0</v>
      </c>
      <c r="C743" s="47">
        <v>1</v>
      </c>
      <c r="D743" s="47" t="s">
        <v>1034</v>
      </c>
      <c r="E743" s="47" t="s">
        <v>13</v>
      </c>
      <c r="F743" s="47">
        <v>36</v>
      </c>
      <c r="G743" s="47">
        <v>1</v>
      </c>
      <c r="H743" s="47">
        <v>0</v>
      </c>
      <c r="I743" s="47">
        <v>19877</v>
      </c>
      <c r="J743" s="47">
        <v>78.85</v>
      </c>
      <c r="K743" s="47" t="s">
        <v>1035</v>
      </c>
      <c r="L743" s="47" t="s">
        <v>15</v>
      </c>
    </row>
    <row r="744" spans="1:12">
      <c r="A744" s="47">
        <v>743</v>
      </c>
      <c r="B744" s="47">
        <v>1</v>
      </c>
      <c r="C744" s="47">
        <v>1</v>
      </c>
      <c r="D744" s="47" t="s">
        <v>1036</v>
      </c>
      <c r="E744" s="47" t="s">
        <v>17</v>
      </c>
      <c r="F744" s="47">
        <v>21</v>
      </c>
      <c r="G744" s="47">
        <v>2</v>
      </c>
      <c r="H744" s="47">
        <v>2</v>
      </c>
      <c r="I744" s="47" t="s">
        <v>472</v>
      </c>
      <c r="J744" s="47">
        <v>262.375</v>
      </c>
      <c r="K744" s="47" t="s">
        <v>473</v>
      </c>
      <c r="L744" s="47" t="s">
        <v>20</v>
      </c>
    </row>
    <row r="745" spans="1:12">
      <c r="A745" s="47">
        <v>744</v>
      </c>
      <c r="B745" s="47">
        <v>0</v>
      </c>
      <c r="C745" s="47">
        <v>3</v>
      </c>
      <c r="D745" s="47" t="s">
        <v>1037</v>
      </c>
      <c r="E745" s="47" t="s">
        <v>13</v>
      </c>
      <c r="F745" s="47">
        <v>24</v>
      </c>
      <c r="G745" s="47">
        <v>1</v>
      </c>
      <c r="H745" s="47">
        <v>0</v>
      </c>
      <c r="I745" s="47">
        <v>376566</v>
      </c>
      <c r="J745" s="47">
        <v>16.1</v>
      </c>
      <c r="L745" s="47" t="s">
        <v>15</v>
      </c>
    </row>
    <row r="746" spans="1:12">
      <c r="A746" s="47">
        <v>745</v>
      </c>
      <c r="B746" s="47">
        <v>1</v>
      </c>
      <c r="C746" s="47">
        <v>3</v>
      </c>
      <c r="D746" s="47" t="s">
        <v>1038</v>
      </c>
      <c r="E746" s="47" t="s">
        <v>13</v>
      </c>
      <c r="F746" s="47">
        <v>31</v>
      </c>
      <c r="G746" s="47">
        <v>0</v>
      </c>
      <c r="H746" s="47">
        <v>0</v>
      </c>
      <c r="I746" s="47" t="s">
        <v>1039</v>
      </c>
      <c r="J746" s="47">
        <v>7.925</v>
      </c>
      <c r="L746" s="47" t="s">
        <v>15</v>
      </c>
    </row>
    <row r="747" spans="1:12">
      <c r="A747" s="47">
        <v>746</v>
      </c>
      <c r="B747" s="47">
        <v>0</v>
      </c>
      <c r="C747" s="47">
        <v>1</v>
      </c>
      <c r="D747" s="47" t="s">
        <v>1040</v>
      </c>
      <c r="E747" s="47" t="s">
        <v>13</v>
      </c>
      <c r="F747" s="47">
        <v>70</v>
      </c>
      <c r="G747" s="47">
        <v>1</v>
      </c>
      <c r="H747" s="47">
        <v>1</v>
      </c>
      <c r="I747" s="47" t="s">
        <v>777</v>
      </c>
      <c r="J747" s="47">
        <v>71</v>
      </c>
      <c r="K747" s="47" t="s">
        <v>778</v>
      </c>
      <c r="L747" s="47" t="s">
        <v>15</v>
      </c>
    </row>
    <row r="748" spans="1:12">
      <c r="A748" s="47">
        <v>747</v>
      </c>
      <c r="B748" s="47">
        <v>0</v>
      </c>
      <c r="C748" s="47">
        <v>3</v>
      </c>
      <c r="D748" s="47" t="s">
        <v>1041</v>
      </c>
      <c r="E748" s="47" t="s">
        <v>13</v>
      </c>
      <c r="F748" s="47">
        <v>16</v>
      </c>
      <c r="G748" s="47">
        <v>1</v>
      </c>
      <c r="H748" s="47">
        <v>1</v>
      </c>
      <c r="I748" s="47" t="s">
        <v>424</v>
      </c>
      <c r="J748" s="47">
        <v>20.25</v>
      </c>
      <c r="L748" s="47" t="s">
        <v>15</v>
      </c>
    </row>
    <row r="749" spans="1:12">
      <c r="A749" s="47">
        <v>748</v>
      </c>
      <c r="B749" s="47">
        <v>1</v>
      </c>
      <c r="C749" s="47">
        <v>2</v>
      </c>
      <c r="D749" s="47" t="s">
        <v>1042</v>
      </c>
      <c r="E749" s="47" t="s">
        <v>17</v>
      </c>
      <c r="F749" s="47">
        <v>30</v>
      </c>
      <c r="G749" s="47">
        <v>0</v>
      </c>
      <c r="H749" s="47">
        <v>0</v>
      </c>
      <c r="I749" s="47">
        <v>250648</v>
      </c>
      <c r="J749" s="47">
        <v>13</v>
      </c>
      <c r="L749" s="47" t="s">
        <v>15</v>
      </c>
    </row>
    <row r="750" spans="1:12">
      <c r="A750" s="47">
        <v>749</v>
      </c>
      <c r="B750" s="47">
        <v>0</v>
      </c>
      <c r="C750" s="47">
        <v>1</v>
      </c>
      <c r="D750" s="47" t="s">
        <v>1043</v>
      </c>
      <c r="E750" s="47" t="s">
        <v>13</v>
      </c>
      <c r="F750" s="47">
        <v>19</v>
      </c>
      <c r="G750" s="47">
        <v>1</v>
      </c>
      <c r="H750" s="47">
        <v>0</v>
      </c>
      <c r="I750" s="47">
        <v>113773</v>
      </c>
      <c r="J750" s="47">
        <v>53.1</v>
      </c>
      <c r="K750" s="47" t="s">
        <v>1044</v>
      </c>
      <c r="L750" s="47" t="s">
        <v>15</v>
      </c>
    </row>
    <row r="751" spans="1:12">
      <c r="A751" s="47">
        <v>750</v>
      </c>
      <c r="B751" s="47">
        <v>0</v>
      </c>
      <c r="C751" s="47">
        <v>3</v>
      </c>
      <c r="D751" s="47" t="s">
        <v>1045</v>
      </c>
      <c r="E751" s="47" t="s">
        <v>13</v>
      </c>
      <c r="F751" s="47">
        <v>31</v>
      </c>
      <c r="G751" s="47">
        <v>0</v>
      </c>
      <c r="H751" s="47">
        <v>0</v>
      </c>
      <c r="I751" s="47">
        <v>335097</v>
      </c>
      <c r="J751" s="47">
        <v>7.75</v>
      </c>
      <c r="L751" s="47" t="s">
        <v>27</v>
      </c>
    </row>
    <row r="752" spans="1:12">
      <c r="A752" s="47">
        <v>751</v>
      </c>
      <c r="B752" s="47">
        <v>1</v>
      </c>
      <c r="C752" s="47">
        <v>2</v>
      </c>
      <c r="D752" s="47" t="s">
        <v>1046</v>
      </c>
      <c r="E752" s="47" t="s">
        <v>17</v>
      </c>
      <c r="F752" s="47">
        <v>4</v>
      </c>
      <c r="G752" s="47">
        <v>1</v>
      </c>
      <c r="H752" s="47">
        <v>1</v>
      </c>
      <c r="I752" s="47">
        <v>29103</v>
      </c>
      <c r="J752" s="47">
        <v>23</v>
      </c>
      <c r="L752" s="47" t="s">
        <v>15</v>
      </c>
    </row>
    <row r="753" spans="1:12">
      <c r="A753" s="47">
        <v>752</v>
      </c>
      <c r="B753" s="47">
        <v>1</v>
      </c>
      <c r="C753" s="47">
        <v>3</v>
      </c>
      <c r="D753" s="47" t="s">
        <v>1047</v>
      </c>
      <c r="E753" s="47" t="s">
        <v>13</v>
      </c>
      <c r="F753" s="47">
        <v>6</v>
      </c>
      <c r="G753" s="47">
        <v>0</v>
      </c>
      <c r="H753" s="47">
        <v>1</v>
      </c>
      <c r="I753" s="47">
        <v>392096</v>
      </c>
      <c r="J753" s="47">
        <v>12.475</v>
      </c>
      <c r="K753" s="47" t="s">
        <v>1048</v>
      </c>
      <c r="L753" s="47" t="s">
        <v>15</v>
      </c>
    </row>
    <row r="754" spans="1:12">
      <c r="A754" s="47">
        <v>753</v>
      </c>
      <c r="B754" s="47">
        <v>0</v>
      </c>
      <c r="C754" s="47">
        <v>3</v>
      </c>
      <c r="D754" s="47" t="s">
        <v>1049</v>
      </c>
      <c r="E754" s="47" t="s">
        <v>13</v>
      </c>
      <c r="F754" s="47">
        <v>33</v>
      </c>
      <c r="G754" s="47">
        <v>0</v>
      </c>
      <c r="H754" s="47">
        <v>0</v>
      </c>
      <c r="I754" s="47">
        <v>345780</v>
      </c>
      <c r="J754" s="47">
        <v>9.5</v>
      </c>
      <c r="L754" s="47" t="s">
        <v>15</v>
      </c>
    </row>
    <row r="755" spans="1:12">
      <c r="A755" s="47">
        <v>754</v>
      </c>
      <c r="B755" s="47">
        <v>0</v>
      </c>
      <c r="C755" s="47">
        <v>3</v>
      </c>
      <c r="D755" s="47" t="s">
        <v>1050</v>
      </c>
      <c r="E755" s="47" t="s">
        <v>13</v>
      </c>
      <c r="F755" s="47">
        <v>23</v>
      </c>
      <c r="G755" s="47">
        <v>0</v>
      </c>
      <c r="H755" s="47">
        <v>0</v>
      </c>
      <c r="I755" s="47">
        <v>349204</v>
      </c>
      <c r="J755" s="47">
        <v>7.8958</v>
      </c>
      <c r="L755" s="47" t="s">
        <v>15</v>
      </c>
    </row>
    <row r="756" spans="1:12">
      <c r="A756" s="47">
        <v>755</v>
      </c>
      <c r="B756" s="47">
        <v>1</v>
      </c>
      <c r="C756" s="47">
        <v>2</v>
      </c>
      <c r="D756" s="47" t="s">
        <v>1051</v>
      </c>
      <c r="E756" s="47" t="s">
        <v>17</v>
      </c>
      <c r="F756" s="47">
        <v>48</v>
      </c>
      <c r="G756" s="47">
        <v>1</v>
      </c>
      <c r="H756" s="47">
        <v>2</v>
      </c>
      <c r="I756" s="47">
        <v>220845</v>
      </c>
      <c r="J756" s="47">
        <v>65</v>
      </c>
      <c r="L756" s="47" t="s">
        <v>15</v>
      </c>
    </row>
    <row r="757" spans="1:12">
      <c r="A757" s="47">
        <v>756</v>
      </c>
      <c r="B757" s="47">
        <v>1</v>
      </c>
      <c r="C757" s="47">
        <v>2</v>
      </c>
      <c r="D757" s="47" t="s">
        <v>1052</v>
      </c>
      <c r="E757" s="47" t="s">
        <v>13</v>
      </c>
      <c r="F757" s="47">
        <v>0.67</v>
      </c>
      <c r="G757" s="47">
        <v>1</v>
      </c>
      <c r="H757" s="47">
        <v>1</v>
      </c>
      <c r="I757" s="47">
        <v>250649</v>
      </c>
      <c r="J757" s="47">
        <v>14.5</v>
      </c>
      <c r="L757" s="47" t="s">
        <v>15</v>
      </c>
    </row>
    <row r="758" spans="1:12">
      <c r="A758" s="47">
        <v>757</v>
      </c>
      <c r="B758" s="47">
        <v>0</v>
      </c>
      <c r="C758" s="47">
        <v>3</v>
      </c>
      <c r="D758" s="47" t="s">
        <v>1053</v>
      </c>
      <c r="E758" s="47" t="s">
        <v>13</v>
      </c>
      <c r="F758" s="47">
        <v>28</v>
      </c>
      <c r="G758" s="47">
        <v>0</v>
      </c>
      <c r="H758" s="47">
        <v>0</v>
      </c>
      <c r="I758" s="47">
        <v>350042</v>
      </c>
      <c r="J758" s="47">
        <v>7.7958</v>
      </c>
      <c r="L758" s="47" t="s">
        <v>15</v>
      </c>
    </row>
    <row r="759" spans="1:12">
      <c r="A759" s="47">
        <v>758</v>
      </c>
      <c r="B759" s="47">
        <v>0</v>
      </c>
      <c r="C759" s="47">
        <v>2</v>
      </c>
      <c r="D759" s="47" t="s">
        <v>1054</v>
      </c>
      <c r="E759" s="47" t="s">
        <v>13</v>
      </c>
      <c r="F759" s="47">
        <v>18</v>
      </c>
      <c r="G759" s="47">
        <v>0</v>
      </c>
      <c r="H759" s="47">
        <v>0</v>
      </c>
      <c r="I759" s="47">
        <v>29108</v>
      </c>
      <c r="J759" s="47">
        <v>11.5</v>
      </c>
      <c r="L759" s="47" t="s">
        <v>15</v>
      </c>
    </row>
    <row r="760" spans="1:12">
      <c r="A760" s="47">
        <v>759</v>
      </c>
      <c r="B760" s="47">
        <v>0</v>
      </c>
      <c r="C760" s="47">
        <v>3</v>
      </c>
      <c r="D760" s="47" t="s">
        <v>1055</v>
      </c>
      <c r="E760" s="47" t="s">
        <v>13</v>
      </c>
      <c r="F760" s="47">
        <v>34</v>
      </c>
      <c r="G760" s="47">
        <v>0</v>
      </c>
      <c r="H760" s="47">
        <v>0</v>
      </c>
      <c r="I760" s="47">
        <v>363294</v>
      </c>
      <c r="J760" s="47">
        <v>8.05</v>
      </c>
      <c r="L760" s="47" t="s">
        <v>15</v>
      </c>
    </row>
    <row r="761" spans="1:12">
      <c r="A761" s="47">
        <v>760</v>
      </c>
      <c r="B761" s="47">
        <v>1</v>
      </c>
      <c r="C761" s="47">
        <v>1</v>
      </c>
      <c r="D761" s="47" t="s">
        <v>1056</v>
      </c>
      <c r="E761" s="47" t="s">
        <v>17</v>
      </c>
      <c r="F761" s="47">
        <v>33</v>
      </c>
      <c r="G761" s="47">
        <v>0</v>
      </c>
      <c r="H761" s="47">
        <v>0</v>
      </c>
      <c r="I761" s="47">
        <v>110152</v>
      </c>
      <c r="J761" s="47">
        <v>86.5</v>
      </c>
      <c r="K761" s="47" t="s">
        <v>390</v>
      </c>
      <c r="L761" s="47" t="s">
        <v>15</v>
      </c>
    </row>
    <row r="762" spans="1:12">
      <c r="A762" s="47">
        <v>761</v>
      </c>
      <c r="B762" s="47">
        <v>0</v>
      </c>
      <c r="C762" s="47">
        <v>3</v>
      </c>
      <c r="D762" s="47" t="s">
        <v>1057</v>
      </c>
      <c r="E762" s="47" t="s">
        <v>13</v>
      </c>
      <c r="G762" s="47">
        <v>0</v>
      </c>
      <c r="H762" s="47">
        <v>0</v>
      </c>
      <c r="I762" s="47">
        <v>358585</v>
      </c>
      <c r="J762" s="47">
        <v>14.5</v>
      </c>
      <c r="L762" s="47" t="s">
        <v>15</v>
      </c>
    </row>
    <row r="763" spans="1:12">
      <c r="A763" s="47">
        <v>762</v>
      </c>
      <c r="B763" s="47">
        <v>0</v>
      </c>
      <c r="C763" s="47">
        <v>3</v>
      </c>
      <c r="D763" s="47" t="s">
        <v>1058</v>
      </c>
      <c r="E763" s="47" t="s">
        <v>13</v>
      </c>
      <c r="F763" s="47">
        <v>41</v>
      </c>
      <c r="G763" s="47">
        <v>0</v>
      </c>
      <c r="H763" s="47">
        <v>0</v>
      </c>
      <c r="I763" s="47" t="s">
        <v>1059</v>
      </c>
      <c r="J763" s="47">
        <v>7.125</v>
      </c>
      <c r="L763" s="47" t="s">
        <v>15</v>
      </c>
    </row>
    <row r="764" spans="1:12">
      <c r="A764" s="47">
        <v>763</v>
      </c>
      <c r="B764" s="47">
        <v>1</v>
      </c>
      <c r="C764" s="47">
        <v>3</v>
      </c>
      <c r="D764" s="47" t="s">
        <v>1060</v>
      </c>
      <c r="E764" s="47" t="s">
        <v>13</v>
      </c>
      <c r="F764" s="47">
        <v>20</v>
      </c>
      <c r="G764" s="47">
        <v>0</v>
      </c>
      <c r="H764" s="47">
        <v>0</v>
      </c>
      <c r="I764" s="47">
        <v>2663</v>
      </c>
      <c r="J764" s="47">
        <v>7.2292</v>
      </c>
      <c r="L764" s="47" t="s">
        <v>20</v>
      </c>
    </row>
    <row r="765" spans="1:12">
      <c r="A765" s="47">
        <v>764</v>
      </c>
      <c r="B765" s="47">
        <v>1</v>
      </c>
      <c r="C765" s="47">
        <v>1</v>
      </c>
      <c r="D765" s="47" t="s">
        <v>1061</v>
      </c>
      <c r="E765" s="47" t="s">
        <v>17</v>
      </c>
      <c r="F765" s="47">
        <v>36</v>
      </c>
      <c r="G765" s="47">
        <v>1</v>
      </c>
      <c r="H765" s="47">
        <v>2</v>
      </c>
      <c r="I765" s="47">
        <v>113760</v>
      </c>
      <c r="J765" s="47">
        <v>120</v>
      </c>
      <c r="K765" s="47" t="s">
        <v>578</v>
      </c>
      <c r="L765" s="47" t="s">
        <v>15</v>
      </c>
    </row>
    <row r="766" spans="1:12">
      <c r="A766" s="47">
        <v>765</v>
      </c>
      <c r="B766" s="47">
        <v>0</v>
      </c>
      <c r="C766" s="47">
        <v>3</v>
      </c>
      <c r="D766" s="47" t="s">
        <v>1062</v>
      </c>
      <c r="E766" s="47" t="s">
        <v>13</v>
      </c>
      <c r="F766" s="47">
        <v>16</v>
      </c>
      <c r="G766" s="47">
        <v>0</v>
      </c>
      <c r="H766" s="47">
        <v>0</v>
      </c>
      <c r="I766" s="47">
        <v>347074</v>
      </c>
      <c r="J766" s="47">
        <v>7.775</v>
      </c>
      <c r="L766" s="47" t="s">
        <v>15</v>
      </c>
    </row>
    <row r="767" spans="1:12">
      <c r="A767" s="47">
        <v>766</v>
      </c>
      <c r="B767" s="47">
        <v>1</v>
      </c>
      <c r="C767" s="47">
        <v>1</v>
      </c>
      <c r="D767" s="47" t="s">
        <v>1063</v>
      </c>
      <c r="E767" s="47" t="s">
        <v>17</v>
      </c>
      <c r="F767" s="47">
        <v>51</v>
      </c>
      <c r="G767" s="47">
        <v>1</v>
      </c>
      <c r="H767" s="47">
        <v>0</v>
      </c>
      <c r="I767" s="47">
        <v>13502</v>
      </c>
      <c r="J767" s="47">
        <v>77.9583</v>
      </c>
      <c r="K767" s="47" t="s">
        <v>1064</v>
      </c>
      <c r="L767" s="47" t="s">
        <v>15</v>
      </c>
    </row>
    <row r="768" spans="1:12">
      <c r="A768" s="47">
        <v>767</v>
      </c>
      <c r="B768" s="47">
        <v>0</v>
      </c>
      <c r="C768" s="47">
        <v>1</v>
      </c>
      <c r="D768" s="47" t="s">
        <v>1065</v>
      </c>
      <c r="E768" s="47" t="s">
        <v>13</v>
      </c>
      <c r="G768" s="47">
        <v>0</v>
      </c>
      <c r="H768" s="47">
        <v>0</v>
      </c>
      <c r="I768" s="47">
        <v>112379</v>
      </c>
      <c r="J768" s="47">
        <v>39.6</v>
      </c>
      <c r="L768" s="47" t="s">
        <v>20</v>
      </c>
    </row>
    <row r="769" spans="1:12">
      <c r="A769" s="47">
        <v>768</v>
      </c>
      <c r="B769" s="47">
        <v>0</v>
      </c>
      <c r="C769" s="47">
        <v>3</v>
      </c>
      <c r="D769" s="47" t="s">
        <v>1066</v>
      </c>
      <c r="E769" s="47" t="s">
        <v>17</v>
      </c>
      <c r="F769" s="47">
        <v>30.5</v>
      </c>
      <c r="G769" s="47">
        <v>0</v>
      </c>
      <c r="H769" s="47">
        <v>0</v>
      </c>
      <c r="I769" s="47">
        <v>364850</v>
      </c>
      <c r="J769" s="47">
        <v>7.75</v>
      </c>
      <c r="L769" s="47" t="s">
        <v>27</v>
      </c>
    </row>
    <row r="770" spans="1:12">
      <c r="A770" s="47">
        <v>769</v>
      </c>
      <c r="B770" s="47">
        <v>0</v>
      </c>
      <c r="C770" s="47">
        <v>3</v>
      </c>
      <c r="D770" s="47" t="s">
        <v>1067</v>
      </c>
      <c r="E770" s="47" t="s">
        <v>13</v>
      </c>
      <c r="G770" s="47">
        <v>1</v>
      </c>
      <c r="H770" s="47">
        <v>0</v>
      </c>
      <c r="I770" s="47">
        <v>371110</v>
      </c>
      <c r="J770" s="47">
        <v>24.15</v>
      </c>
      <c r="L770" s="47" t="s">
        <v>27</v>
      </c>
    </row>
    <row r="771" spans="1:12">
      <c r="A771" s="47">
        <v>770</v>
      </c>
      <c r="B771" s="47">
        <v>0</v>
      </c>
      <c r="C771" s="47">
        <v>3</v>
      </c>
      <c r="D771" s="47" t="s">
        <v>1068</v>
      </c>
      <c r="E771" s="47" t="s">
        <v>13</v>
      </c>
      <c r="F771" s="47">
        <v>32</v>
      </c>
      <c r="G771" s="47">
        <v>0</v>
      </c>
      <c r="H771" s="47">
        <v>0</v>
      </c>
      <c r="I771" s="47">
        <v>8471</v>
      </c>
      <c r="J771" s="47">
        <v>8.3625</v>
      </c>
      <c r="L771" s="47" t="s">
        <v>15</v>
      </c>
    </row>
    <row r="772" spans="1:12">
      <c r="A772" s="47">
        <v>771</v>
      </c>
      <c r="B772" s="47">
        <v>0</v>
      </c>
      <c r="C772" s="47">
        <v>3</v>
      </c>
      <c r="D772" s="47" t="s">
        <v>1069</v>
      </c>
      <c r="E772" s="47" t="s">
        <v>13</v>
      </c>
      <c r="F772" s="47">
        <v>24</v>
      </c>
      <c r="G772" s="47">
        <v>0</v>
      </c>
      <c r="H772" s="47">
        <v>0</v>
      </c>
      <c r="I772" s="47">
        <v>345781</v>
      </c>
      <c r="J772" s="47">
        <v>9.5</v>
      </c>
      <c r="L772" s="47" t="s">
        <v>15</v>
      </c>
    </row>
    <row r="773" spans="1:12">
      <c r="A773" s="47">
        <v>772</v>
      </c>
      <c r="B773" s="47">
        <v>0</v>
      </c>
      <c r="C773" s="47">
        <v>3</v>
      </c>
      <c r="D773" s="47" t="s">
        <v>1070</v>
      </c>
      <c r="E773" s="47" t="s">
        <v>13</v>
      </c>
      <c r="F773" s="47">
        <v>48</v>
      </c>
      <c r="G773" s="47">
        <v>0</v>
      </c>
      <c r="H773" s="47">
        <v>0</v>
      </c>
      <c r="I773" s="47">
        <v>350047</v>
      </c>
      <c r="J773" s="47">
        <v>7.8542</v>
      </c>
      <c r="L773" s="47" t="s">
        <v>15</v>
      </c>
    </row>
    <row r="774" spans="1:12">
      <c r="A774" s="47">
        <v>773</v>
      </c>
      <c r="B774" s="47">
        <v>0</v>
      </c>
      <c r="C774" s="47">
        <v>2</v>
      </c>
      <c r="D774" s="47" t="s">
        <v>1071</v>
      </c>
      <c r="E774" s="47" t="s">
        <v>17</v>
      </c>
      <c r="F774" s="47">
        <v>57</v>
      </c>
      <c r="G774" s="47">
        <v>0</v>
      </c>
      <c r="H774" s="47">
        <v>0</v>
      </c>
      <c r="I774" s="47" t="s">
        <v>1072</v>
      </c>
      <c r="J774" s="47">
        <v>10.5</v>
      </c>
      <c r="K774" s="47" t="s">
        <v>1073</v>
      </c>
      <c r="L774" s="47" t="s">
        <v>15</v>
      </c>
    </row>
    <row r="775" spans="1:12">
      <c r="A775" s="47">
        <v>774</v>
      </c>
      <c r="B775" s="47">
        <v>0</v>
      </c>
      <c r="C775" s="47">
        <v>3</v>
      </c>
      <c r="D775" s="47" t="s">
        <v>1074</v>
      </c>
      <c r="E775" s="47" t="s">
        <v>13</v>
      </c>
      <c r="G775" s="47">
        <v>0</v>
      </c>
      <c r="H775" s="47">
        <v>0</v>
      </c>
      <c r="I775" s="47">
        <v>2674</v>
      </c>
      <c r="J775" s="47">
        <v>7.225</v>
      </c>
      <c r="L775" s="47" t="s">
        <v>20</v>
      </c>
    </row>
    <row r="776" spans="1:12">
      <c r="A776" s="47">
        <v>775</v>
      </c>
      <c r="B776" s="47">
        <v>1</v>
      </c>
      <c r="C776" s="47">
        <v>2</v>
      </c>
      <c r="D776" s="47" t="s">
        <v>1075</v>
      </c>
      <c r="E776" s="47" t="s">
        <v>17</v>
      </c>
      <c r="F776" s="47">
        <v>54</v>
      </c>
      <c r="G776" s="47">
        <v>1</v>
      </c>
      <c r="H776" s="47">
        <v>3</v>
      </c>
      <c r="I776" s="47">
        <v>29105</v>
      </c>
      <c r="J776" s="47">
        <v>23</v>
      </c>
      <c r="L776" s="47" t="s">
        <v>15</v>
      </c>
    </row>
    <row r="777" spans="1:12">
      <c r="A777" s="47">
        <v>776</v>
      </c>
      <c r="B777" s="47">
        <v>0</v>
      </c>
      <c r="C777" s="47">
        <v>3</v>
      </c>
      <c r="D777" s="47" t="s">
        <v>1076</v>
      </c>
      <c r="E777" s="47" t="s">
        <v>13</v>
      </c>
      <c r="F777" s="47">
        <v>18</v>
      </c>
      <c r="G777" s="47">
        <v>0</v>
      </c>
      <c r="H777" s="47">
        <v>0</v>
      </c>
      <c r="I777" s="47">
        <v>347078</v>
      </c>
      <c r="J777" s="47">
        <v>7.75</v>
      </c>
      <c r="L777" s="47" t="s">
        <v>15</v>
      </c>
    </row>
    <row r="778" spans="1:12">
      <c r="A778" s="47">
        <v>777</v>
      </c>
      <c r="B778" s="47">
        <v>0</v>
      </c>
      <c r="C778" s="47">
        <v>3</v>
      </c>
      <c r="D778" s="47" t="s">
        <v>1077</v>
      </c>
      <c r="E778" s="47" t="s">
        <v>13</v>
      </c>
      <c r="G778" s="47">
        <v>0</v>
      </c>
      <c r="H778" s="47">
        <v>0</v>
      </c>
      <c r="I778" s="47">
        <v>383121</v>
      </c>
      <c r="J778" s="47">
        <v>7.75</v>
      </c>
      <c r="K778" s="47" t="s">
        <v>1078</v>
      </c>
      <c r="L778" s="47" t="s">
        <v>27</v>
      </c>
    </row>
    <row r="779" spans="1:12">
      <c r="A779" s="47">
        <v>778</v>
      </c>
      <c r="B779" s="47">
        <v>1</v>
      </c>
      <c r="C779" s="47">
        <v>3</v>
      </c>
      <c r="D779" s="47" t="s">
        <v>1079</v>
      </c>
      <c r="E779" s="47" t="s">
        <v>17</v>
      </c>
      <c r="F779" s="47">
        <v>5</v>
      </c>
      <c r="G779" s="47">
        <v>0</v>
      </c>
      <c r="H779" s="47">
        <v>0</v>
      </c>
      <c r="I779" s="47">
        <v>364516</v>
      </c>
      <c r="J779" s="47">
        <v>12.475</v>
      </c>
      <c r="L779" s="47" t="s">
        <v>15</v>
      </c>
    </row>
    <row r="780" spans="1:12">
      <c r="A780" s="47">
        <v>779</v>
      </c>
      <c r="B780" s="47">
        <v>0</v>
      </c>
      <c r="C780" s="47">
        <v>3</v>
      </c>
      <c r="D780" s="47" t="s">
        <v>1080</v>
      </c>
      <c r="E780" s="47" t="s">
        <v>13</v>
      </c>
      <c r="G780" s="47">
        <v>0</v>
      </c>
      <c r="H780" s="47">
        <v>0</v>
      </c>
      <c r="I780" s="47">
        <v>36865</v>
      </c>
      <c r="J780" s="47">
        <v>7.7375</v>
      </c>
      <c r="L780" s="47" t="s">
        <v>27</v>
      </c>
    </row>
    <row r="781" spans="1:12">
      <c r="A781" s="47">
        <v>780</v>
      </c>
      <c r="B781" s="47">
        <v>1</v>
      </c>
      <c r="C781" s="47">
        <v>1</v>
      </c>
      <c r="D781" s="47" t="s">
        <v>1081</v>
      </c>
      <c r="E781" s="47" t="s">
        <v>17</v>
      </c>
      <c r="F781" s="47">
        <v>43</v>
      </c>
      <c r="G781" s="47">
        <v>0</v>
      </c>
      <c r="H781" s="47">
        <v>1</v>
      </c>
      <c r="I781" s="47">
        <v>24160</v>
      </c>
      <c r="J781" s="47">
        <v>211.3375</v>
      </c>
      <c r="K781" s="47" t="s">
        <v>1082</v>
      </c>
      <c r="L781" s="47" t="s">
        <v>15</v>
      </c>
    </row>
    <row r="782" spans="1:12">
      <c r="A782" s="47">
        <v>781</v>
      </c>
      <c r="B782" s="47">
        <v>1</v>
      </c>
      <c r="C782" s="47">
        <v>3</v>
      </c>
      <c r="D782" s="47" t="s">
        <v>1083</v>
      </c>
      <c r="E782" s="47" t="s">
        <v>17</v>
      </c>
      <c r="F782" s="47">
        <v>13</v>
      </c>
      <c r="G782" s="47">
        <v>0</v>
      </c>
      <c r="H782" s="47">
        <v>0</v>
      </c>
      <c r="I782" s="47">
        <v>2687</v>
      </c>
      <c r="J782" s="47">
        <v>7.2292</v>
      </c>
      <c r="L782" s="47" t="s">
        <v>20</v>
      </c>
    </row>
    <row r="783" spans="1:12">
      <c r="A783" s="47">
        <v>782</v>
      </c>
      <c r="B783" s="47">
        <v>1</v>
      </c>
      <c r="C783" s="47">
        <v>1</v>
      </c>
      <c r="D783" s="47" t="s">
        <v>1084</v>
      </c>
      <c r="E783" s="47" t="s">
        <v>17</v>
      </c>
      <c r="F783" s="47">
        <v>17</v>
      </c>
      <c r="G783" s="47">
        <v>1</v>
      </c>
      <c r="H783" s="47">
        <v>0</v>
      </c>
      <c r="I783" s="47">
        <v>17474</v>
      </c>
      <c r="J783" s="47">
        <v>57</v>
      </c>
      <c r="K783" s="47" t="s">
        <v>971</v>
      </c>
      <c r="L783" s="47" t="s">
        <v>15</v>
      </c>
    </row>
    <row r="784" spans="1:12">
      <c r="A784" s="47">
        <v>783</v>
      </c>
      <c r="B784" s="47">
        <v>0</v>
      </c>
      <c r="C784" s="47">
        <v>1</v>
      </c>
      <c r="D784" s="47" t="s">
        <v>1085</v>
      </c>
      <c r="E784" s="47" t="s">
        <v>13</v>
      </c>
      <c r="F784" s="47">
        <v>29</v>
      </c>
      <c r="G784" s="47">
        <v>0</v>
      </c>
      <c r="H784" s="47">
        <v>0</v>
      </c>
      <c r="I784" s="47">
        <v>113501</v>
      </c>
      <c r="J784" s="47">
        <v>30</v>
      </c>
      <c r="K784" s="47" t="s">
        <v>1086</v>
      </c>
      <c r="L784" s="47" t="s">
        <v>15</v>
      </c>
    </row>
    <row r="785" spans="1:12">
      <c r="A785" s="47">
        <v>784</v>
      </c>
      <c r="B785" s="47">
        <v>0</v>
      </c>
      <c r="C785" s="47">
        <v>3</v>
      </c>
      <c r="D785" s="47" t="s">
        <v>1087</v>
      </c>
      <c r="E785" s="47" t="s">
        <v>13</v>
      </c>
      <c r="G785" s="47">
        <v>1</v>
      </c>
      <c r="H785" s="47">
        <v>2</v>
      </c>
      <c r="I785" s="47" t="s">
        <v>1088</v>
      </c>
      <c r="J785" s="47">
        <v>23.45</v>
      </c>
      <c r="L785" s="47" t="s">
        <v>15</v>
      </c>
    </row>
    <row r="786" spans="1:12">
      <c r="A786" s="47">
        <v>785</v>
      </c>
      <c r="B786" s="47">
        <v>0</v>
      </c>
      <c r="C786" s="47">
        <v>3</v>
      </c>
      <c r="D786" s="47" t="s">
        <v>1089</v>
      </c>
      <c r="E786" s="47" t="s">
        <v>13</v>
      </c>
      <c r="F786" s="47">
        <v>25</v>
      </c>
      <c r="G786" s="47">
        <v>0</v>
      </c>
      <c r="H786" s="47">
        <v>0</v>
      </c>
      <c r="I786" s="47" t="s">
        <v>1090</v>
      </c>
      <c r="J786" s="47">
        <v>7.05</v>
      </c>
      <c r="L786" s="47" t="s">
        <v>15</v>
      </c>
    </row>
    <row r="787" spans="1:12">
      <c r="A787" s="47">
        <v>786</v>
      </c>
      <c r="B787" s="47">
        <v>0</v>
      </c>
      <c r="C787" s="47">
        <v>3</v>
      </c>
      <c r="D787" s="47" t="s">
        <v>1091</v>
      </c>
      <c r="E787" s="47" t="s">
        <v>13</v>
      </c>
      <c r="F787" s="47">
        <v>25</v>
      </c>
      <c r="G787" s="47">
        <v>0</v>
      </c>
      <c r="H787" s="47">
        <v>0</v>
      </c>
      <c r="I787" s="47">
        <v>374887</v>
      </c>
      <c r="J787" s="47">
        <v>7.25</v>
      </c>
      <c r="L787" s="47" t="s">
        <v>15</v>
      </c>
    </row>
    <row r="788" spans="1:12">
      <c r="A788" s="47">
        <v>787</v>
      </c>
      <c r="B788" s="47">
        <v>1</v>
      </c>
      <c r="C788" s="47">
        <v>3</v>
      </c>
      <c r="D788" s="47" t="s">
        <v>1092</v>
      </c>
      <c r="E788" s="47" t="s">
        <v>17</v>
      </c>
      <c r="F788" s="47">
        <v>18</v>
      </c>
      <c r="G788" s="47">
        <v>0</v>
      </c>
      <c r="H788" s="47">
        <v>0</v>
      </c>
      <c r="I788" s="47">
        <v>3101265</v>
      </c>
      <c r="J788" s="47">
        <v>7.4958</v>
      </c>
      <c r="L788" s="47" t="s">
        <v>15</v>
      </c>
    </row>
    <row r="789" spans="1:12">
      <c r="A789" s="47">
        <v>788</v>
      </c>
      <c r="B789" s="47">
        <v>0</v>
      </c>
      <c r="C789" s="47">
        <v>3</v>
      </c>
      <c r="D789" s="47" t="s">
        <v>1093</v>
      </c>
      <c r="E789" s="47" t="s">
        <v>13</v>
      </c>
      <c r="F789" s="47">
        <v>8</v>
      </c>
      <c r="G789" s="47">
        <v>4</v>
      </c>
      <c r="H789" s="47">
        <v>1</v>
      </c>
      <c r="I789" s="47">
        <v>382652</v>
      </c>
      <c r="J789" s="47">
        <v>29.125</v>
      </c>
      <c r="L789" s="47" t="s">
        <v>27</v>
      </c>
    </row>
    <row r="790" spans="1:12">
      <c r="A790" s="47">
        <v>789</v>
      </c>
      <c r="B790" s="47">
        <v>1</v>
      </c>
      <c r="C790" s="47">
        <v>3</v>
      </c>
      <c r="D790" s="47" t="s">
        <v>1094</v>
      </c>
      <c r="E790" s="47" t="s">
        <v>13</v>
      </c>
      <c r="F790" s="47">
        <v>1</v>
      </c>
      <c r="G790" s="47">
        <v>1</v>
      </c>
      <c r="H790" s="47">
        <v>2</v>
      </c>
      <c r="I790" s="47" t="s">
        <v>154</v>
      </c>
      <c r="J790" s="47">
        <v>20.575</v>
      </c>
      <c r="L790" s="47" t="s">
        <v>15</v>
      </c>
    </row>
    <row r="791" spans="1:12">
      <c r="A791" s="47">
        <v>790</v>
      </c>
      <c r="B791" s="47">
        <v>0</v>
      </c>
      <c r="C791" s="47">
        <v>1</v>
      </c>
      <c r="D791" s="47" t="s">
        <v>1095</v>
      </c>
      <c r="E791" s="47" t="s">
        <v>13</v>
      </c>
      <c r="F791" s="47">
        <v>46</v>
      </c>
      <c r="G791" s="47">
        <v>0</v>
      </c>
      <c r="H791" s="47">
        <v>0</v>
      </c>
      <c r="I791" s="47" t="s">
        <v>219</v>
      </c>
      <c r="J791" s="47">
        <v>79.2</v>
      </c>
      <c r="K791" s="47" t="s">
        <v>1096</v>
      </c>
      <c r="L791" s="47" t="s">
        <v>20</v>
      </c>
    </row>
    <row r="792" spans="1:12">
      <c r="A792" s="47">
        <v>791</v>
      </c>
      <c r="B792" s="47">
        <v>0</v>
      </c>
      <c r="C792" s="47">
        <v>3</v>
      </c>
      <c r="D792" s="47" t="s">
        <v>1097</v>
      </c>
      <c r="E792" s="47" t="s">
        <v>13</v>
      </c>
      <c r="G792" s="47">
        <v>0</v>
      </c>
      <c r="H792" s="47">
        <v>0</v>
      </c>
      <c r="I792" s="47">
        <v>12460</v>
      </c>
      <c r="J792" s="47">
        <v>7.75</v>
      </c>
      <c r="L792" s="47" t="s">
        <v>27</v>
      </c>
    </row>
    <row r="793" spans="1:12">
      <c r="A793" s="47">
        <v>792</v>
      </c>
      <c r="B793" s="47">
        <v>0</v>
      </c>
      <c r="C793" s="47">
        <v>2</v>
      </c>
      <c r="D793" s="47" t="s">
        <v>1098</v>
      </c>
      <c r="E793" s="47" t="s">
        <v>13</v>
      </c>
      <c r="F793" s="47">
        <v>16</v>
      </c>
      <c r="G793" s="47">
        <v>0</v>
      </c>
      <c r="H793" s="47">
        <v>0</v>
      </c>
      <c r="I793" s="47">
        <v>239865</v>
      </c>
      <c r="J793" s="47">
        <v>26</v>
      </c>
      <c r="L793" s="47" t="s">
        <v>15</v>
      </c>
    </row>
    <row r="794" spans="1:12">
      <c r="A794" s="47">
        <v>793</v>
      </c>
      <c r="B794" s="47">
        <v>0</v>
      </c>
      <c r="C794" s="47">
        <v>3</v>
      </c>
      <c r="D794" s="47" t="s">
        <v>1099</v>
      </c>
      <c r="E794" s="47" t="s">
        <v>17</v>
      </c>
      <c r="G794" s="47">
        <v>8</v>
      </c>
      <c r="H794" s="47">
        <v>2</v>
      </c>
      <c r="I794" s="47" t="s">
        <v>251</v>
      </c>
      <c r="J794" s="47">
        <v>69.55</v>
      </c>
      <c r="L794" s="47" t="s">
        <v>15</v>
      </c>
    </row>
    <row r="795" spans="1:12">
      <c r="A795" s="47">
        <v>794</v>
      </c>
      <c r="B795" s="47">
        <v>0</v>
      </c>
      <c r="C795" s="47">
        <v>1</v>
      </c>
      <c r="D795" s="47" t="s">
        <v>1100</v>
      </c>
      <c r="E795" s="47" t="s">
        <v>13</v>
      </c>
      <c r="G795" s="47">
        <v>0</v>
      </c>
      <c r="H795" s="47">
        <v>0</v>
      </c>
      <c r="I795" s="47" t="s">
        <v>1101</v>
      </c>
      <c r="J795" s="47">
        <v>30.6958</v>
      </c>
      <c r="L795" s="47" t="s">
        <v>20</v>
      </c>
    </row>
    <row r="796" spans="1:12">
      <c r="A796" s="47">
        <v>795</v>
      </c>
      <c r="B796" s="47">
        <v>0</v>
      </c>
      <c r="C796" s="47">
        <v>3</v>
      </c>
      <c r="D796" s="47" t="s">
        <v>1102</v>
      </c>
      <c r="E796" s="47" t="s">
        <v>13</v>
      </c>
      <c r="F796" s="47">
        <v>25</v>
      </c>
      <c r="G796" s="47">
        <v>0</v>
      </c>
      <c r="H796" s="47">
        <v>0</v>
      </c>
      <c r="I796" s="47">
        <v>349203</v>
      </c>
      <c r="J796" s="47">
        <v>7.8958</v>
      </c>
      <c r="L796" s="47" t="s">
        <v>15</v>
      </c>
    </row>
    <row r="797" spans="1:12">
      <c r="A797" s="47">
        <v>796</v>
      </c>
      <c r="B797" s="47">
        <v>0</v>
      </c>
      <c r="C797" s="47">
        <v>2</v>
      </c>
      <c r="D797" s="47" t="s">
        <v>1103</v>
      </c>
      <c r="E797" s="47" t="s">
        <v>13</v>
      </c>
      <c r="F797" s="47">
        <v>39</v>
      </c>
      <c r="G797" s="47">
        <v>0</v>
      </c>
      <c r="H797" s="47">
        <v>0</v>
      </c>
      <c r="I797" s="47">
        <v>28213</v>
      </c>
      <c r="J797" s="47">
        <v>13</v>
      </c>
      <c r="L797" s="47" t="s">
        <v>15</v>
      </c>
    </row>
    <row r="798" spans="1:12">
      <c r="A798" s="47">
        <v>797</v>
      </c>
      <c r="B798" s="47">
        <v>1</v>
      </c>
      <c r="C798" s="47">
        <v>1</v>
      </c>
      <c r="D798" s="47" t="s">
        <v>1104</v>
      </c>
      <c r="E798" s="47" t="s">
        <v>17</v>
      </c>
      <c r="F798" s="47">
        <v>49</v>
      </c>
      <c r="G798" s="47">
        <v>0</v>
      </c>
      <c r="H798" s="47">
        <v>0</v>
      </c>
      <c r="I798" s="47">
        <v>17465</v>
      </c>
      <c r="J798" s="47">
        <v>25.9292</v>
      </c>
      <c r="K798" s="47" t="s">
        <v>1105</v>
      </c>
      <c r="L798" s="47" t="s">
        <v>15</v>
      </c>
    </row>
    <row r="799" spans="1:12">
      <c r="A799" s="47">
        <v>798</v>
      </c>
      <c r="B799" s="47">
        <v>1</v>
      </c>
      <c r="C799" s="47">
        <v>3</v>
      </c>
      <c r="D799" s="47" t="s">
        <v>1106</v>
      </c>
      <c r="E799" s="47" t="s">
        <v>17</v>
      </c>
      <c r="F799" s="47">
        <v>31</v>
      </c>
      <c r="G799" s="47">
        <v>0</v>
      </c>
      <c r="H799" s="47">
        <v>0</v>
      </c>
      <c r="I799" s="47">
        <v>349244</v>
      </c>
      <c r="J799" s="47">
        <v>8.6833</v>
      </c>
      <c r="L799" s="47" t="s">
        <v>15</v>
      </c>
    </row>
    <row r="800" spans="1:12">
      <c r="A800" s="47">
        <v>799</v>
      </c>
      <c r="B800" s="47">
        <v>0</v>
      </c>
      <c r="C800" s="47">
        <v>3</v>
      </c>
      <c r="D800" s="47" t="s">
        <v>1107</v>
      </c>
      <c r="E800" s="47" t="s">
        <v>13</v>
      </c>
      <c r="F800" s="47">
        <v>30</v>
      </c>
      <c r="G800" s="47">
        <v>0</v>
      </c>
      <c r="H800" s="47">
        <v>0</v>
      </c>
      <c r="I800" s="47">
        <v>2685</v>
      </c>
      <c r="J800" s="47">
        <v>7.2292</v>
      </c>
      <c r="L800" s="47" t="s">
        <v>20</v>
      </c>
    </row>
    <row r="801" spans="1:12">
      <c r="A801" s="47">
        <v>800</v>
      </c>
      <c r="B801" s="47">
        <v>0</v>
      </c>
      <c r="C801" s="47">
        <v>3</v>
      </c>
      <c r="D801" s="47" t="s">
        <v>1108</v>
      </c>
      <c r="E801" s="47" t="s">
        <v>17</v>
      </c>
      <c r="F801" s="47">
        <v>30</v>
      </c>
      <c r="G801" s="47">
        <v>1</v>
      </c>
      <c r="H801" s="47">
        <v>1</v>
      </c>
      <c r="I801" s="47">
        <v>345773</v>
      </c>
      <c r="J801" s="47">
        <v>24.15</v>
      </c>
      <c r="L801" s="47" t="s">
        <v>15</v>
      </c>
    </row>
    <row r="802" spans="1:12">
      <c r="A802" s="47">
        <v>801</v>
      </c>
      <c r="B802" s="47">
        <v>0</v>
      </c>
      <c r="C802" s="47">
        <v>2</v>
      </c>
      <c r="D802" s="47" t="s">
        <v>1109</v>
      </c>
      <c r="E802" s="47" t="s">
        <v>13</v>
      </c>
      <c r="F802" s="47">
        <v>34</v>
      </c>
      <c r="G802" s="47">
        <v>0</v>
      </c>
      <c r="H802" s="47">
        <v>0</v>
      </c>
      <c r="I802" s="47">
        <v>250647</v>
      </c>
      <c r="J802" s="47">
        <v>13</v>
      </c>
      <c r="L802" s="47" t="s">
        <v>15</v>
      </c>
    </row>
    <row r="803" spans="1:12">
      <c r="A803" s="47">
        <v>802</v>
      </c>
      <c r="B803" s="47">
        <v>1</v>
      </c>
      <c r="C803" s="47">
        <v>2</v>
      </c>
      <c r="D803" s="47" t="s">
        <v>1110</v>
      </c>
      <c r="E803" s="47" t="s">
        <v>17</v>
      </c>
      <c r="F803" s="47">
        <v>31</v>
      </c>
      <c r="G803" s="47">
        <v>1</v>
      </c>
      <c r="H803" s="47">
        <v>1</v>
      </c>
      <c r="I803" s="47" t="s">
        <v>361</v>
      </c>
      <c r="J803" s="47">
        <v>26.25</v>
      </c>
      <c r="L803" s="47" t="s">
        <v>15</v>
      </c>
    </row>
    <row r="804" spans="1:12">
      <c r="A804" s="47">
        <v>803</v>
      </c>
      <c r="B804" s="47">
        <v>1</v>
      </c>
      <c r="C804" s="47">
        <v>1</v>
      </c>
      <c r="D804" s="47" t="s">
        <v>1111</v>
      </c>
      <c r="E804" s="47" t="s">
        <v>13</v>
      </c>
      <c r="F804" s="47">
        <v>11</v>
      </c>
      <c r="G804" s="47">
        <v>1</v>
      </c>
      <c r="H804" s="47">
        <v>2</v>
      </c>
      <c r="I804" s="47">
        <v>113760</v>
      </c>
      <c r="J804" s="47">
        <v>120</v>
      </c>
      <c r="K804" s="47" t="s">
        <v>578</v>
      </c>
      <c r="L804" s="47" t="s">
        <v>15</v>
      </c>
    </row>
    <row r="805" spans="1:12">
      <c r="A805" s="47">
        <v>804</v>
      </c>
      <c r="B805" s="47">
        <v>1</v>
      </c>
      <c r="C805" s="47">
        <v>3</v>
      </c>
      <c r="D805" s="47" t="s">
        <v>1112</v>
      </c>
      <c r="E805" s="47" t="s">
        <v>13</v>
      </c>
      <c r="F805" s="47">
        <v>0.42</v>
      </c>
      <c r="G805" s="47">
        <v>0</v>
      </c>
      <c r="H805" s="47">
        <v>1</v>
      </c>
      <c r="I805" s="47">
        <v>2625</v>
      </c>
      <c r="J805" s="47">
        <v>8.5167</v>
      </c>
      <c r="L805" s="47" t="s">
        <v>20</v>
      </c>
    </row>
    <row r="806" spans="1:12">
      <c r="A806" s="47">
        <v>805</v>
      </c>
      <c r="B806" s="47">
        <v>1</v>
      </c>
      <c r="C806" s="47">
        <v>3</v>
      </c>
      <c r="D806" s="47" t="s">
        <v>1113</v>
      </c>
      <c r="E806" s="47" t="s">
        <v>13</v>
      </c>
      <c r="F806" s="47">
        <v>27</v>
      </c>
      <c r="G806" s="47">
        <v>0</v>
      </c>
      <c r="H806" s="47">
        <v>0</v>
      </c>
      <c r="I806" s="47">
        <v>347089</v>
      </c>
      <c r="J806" s="47">
        <v>6.975</v>
      </c>
      <c r="L806" s="47" t="s">
        <v>15</v>
      </c>
    </row>
    <row r="807" spans="1:12">
      <c r="A807" s="47">
        <v>806</v>
      </c>
      <c r="B807" s="47">
        <v>0</v>
      </c>
      <c r="C807" s="47">
        <v>3</v>
      </c>
      <c r="D807" s="47" t="s">
        <v>1114</v>
      </c>
      <c r="E807" s="47" t="s">
        <v>13</v>
      </c>
      <c r="F807" s="47">
        <v>31</v>
      </c>
      <c r="G807" s="47">
        <v>0</v>
      </c>
      <c r="H807" s="47">
        <v>0</v>
      </c>
      <c r="I807" s="47">
        <v>347063</v>
      </c>
      <c r="J807" s="47">
        <v>7.775</v>
      </c>
      <c r="L807" s="47" t="s">
        <v>15</v>
      </c>
    </row>
    <row r="808" spans="1:12">
      <c r="A808" s="47">
        <v>807</v>
      </c>
      <c r="B808" s="47">
        <v>0</v>
      </c>
      <c r="C808" s="47">
        <v>1</v>
      </c>
      <c r="D808" s="47" t="s">
        <v>1115</v>
      </c>
      <c r="E808" s="47" t="s">
        <v>13</v>
      </c>
      <c r="F808" s="47">
        <v>39</v>
      </c>
      <c r="G808" s="47">
        <v>0</v>
      </c>
      <c r="H808" s="47">
        <v>0</v>
      </c>
      <c r="I808" s="47">
        <v>112050</v>
      </c>
      <c r="J808" s="47">
        <v>0</v>
      </c>
      <c r="K808" s="47" t="s">
        <v>1116</v>
      </c>
      <c r="L808" s="47" t="s">
        <v>15</v>
      </c>
    </row>
    <row r="809" spans="1:12">
      <c r="A809" s="47">
        <v>808</v>
      </c>
      <c r="B809" s="47">
        <v>0</v>
      </c>
      <c r="C809" s="47">
        <v>3</v>
      </c>
      <c r="D809" s="47" t="s">
        <v>1117</v>
      </c>
      <c r="E809" s="47" t="s">
        <v>17</v>
      </c>
      <c r="F809" s="47">
        <v>18</v>
      </c>
      <c r="G809" s="47">
        <v>0</v>
      </c>
      <c r="H809" s="47">
        <v>0</v>
      </c>
      <c r="I809" s="47">
        <v>347087</v>
      </c>
      <c r="J809" s="47">
        <v>7.775</v>
      </c>
      <c r="L809" s="47" t="s">
        <v>15</v>
      </c>
    </row>
    <row r="810" spans="1:12">
      <c r="A810" s="47">
        <v>809</v>
      </c>
      <c r="B810" s="47">
        <v>0</v>
      </c>
      <c r="C810" s="47">
        <v>2</v>
      </c>
      <c r="D810" s="47" t="s">
        <v>1118</v>
      </c>
      <c r="E810" s="47" t="s">
        <v>13</v>
      </c>
      <c r="F810" s="47">
        <v>39</v>
      </c>
      <c r="G810" s="47">
        <v>0</v>
      </c>
      <c r="H810" s="47">
        <v>0</v>
      </c>
      <c r="I810" s="47">
        <v>248723</v>
      </c>
      <c r="J810" s="47">
        <v>13</v>
      </c>
      <c r="L810" s="47" t="s">
        <v>15</v>
      </c>
    </row>
    <row r="811" spans="1:12">
      <c r="A811" s="47">
        <v>810</v>
      </c>
      <c r="B811" s="47">
        <v>1</v>
      </c>
      <c r="C811" s="47">
        <v>1</v>
      </c>
      <c r="D811" s="47" t="s">
        <v>1119</v>
      </c>
      <c r="E811" s="47" t="s">
        <v>17</v>
      </c>
      <c r="F811" s="47">
        <v>33</v>
      </c>
      <c r="G811" s="47">
        <v>1</v>
      </c>
      <c r="H811" s="47">
        <v>0</v>
      </c>
      <c r="I811" s="47">
        <v>113806</v>
      </c>
      <c r="J811" s="47">
        <v>53.1</v>
      </c>
      <c r="K811" s="47" t="s">
        <v>1014</v>
      </c>
      <c r="L811" s="47" t="s">
        <v>15</v>
      </c>
    </row>
    <row r="812" spans="1:12">
      <c r="A812" s="47">
        <v>811</v>
      </c>
      <c r="B812" s="47">
        <v>0</v>
      </c>
      <c r="C812" s="47">
        <v>3</v>
      </c>
      <c r="D812" s="47" t="s">
        <v>1120</v>
      </c>
      <c r="E812" s="47" t="s">
        <v>13</v>
      </c>
      <c r="F812" s="47">
        <v>26</v>
      </c>
      <c r="G812" s="47">
        <v>0</v>
      </c>
      <c r="H812" s="47">
        <v>0</v>
      </c>
      <c r="I812" s="47">
        <v>3474</v>
      </c>
      <c r="J812" s="47">
        <v>7.8875</v>
      </c>
      <c r="L812" s="47" t="s">
        <v>15</v>
      </c>
    </row>
    <row r="813" spans="1:12">
      <c r="A813" s="47">
        <v>812</v>
      </c>
      <c r="B813" s="47">
        <v>0</v>
      </c>
      <c r="C813" s="47">
        <v>3</v>
      </c>
      <c r="D813" s="47" t="s">
        <v>1121</v>
      </c>
      <c r="E813" s="47" t="s">
        <v>13</v>
      </c>
      <c r="F813" s="47">
        <v>39</v>
      </c>
      <c r="G813" s="47">
        <v>0</v>
      </c>
      <c r="H813" s="47">
        <v>0</v>
      </c>
      <c r="I813" s="47" t="s">
        <v>810</v>
      </c>
      <c r="J813" s="47">
        <v>24.15</v>
      </c>
      <c r="L813" s="47" t="s">
        <v>15</v>
      </c>
    </row>
    <row r="814" spans="1:12">
      <c r="A814" s="47">
        <v>813</v>
      </c>
      <c r="B814" s="47">
        <v>0</v>
      </c>
      <c r="C814" s="47">
        <v>2</v>
      </c>
      <c r="D814" s="47" t="s">
        <v>1122</v>
      </c>
      <c r="E814" s="47" t="s">
        <v>13</v>
      </c>
      <c r="F814" s="47">
        <v>35</v>
      </c>
      <c r="G814" s="47">
        <v>0</v>
      </c>
      <c r="H814" s="47">
        <v>0</v>
      </c>
      <c r="I814" s="47">
        <v>28206</v>
      </c>
      <c r="J814" s="47">
        <v>10.5</v>
      </c>
      <c r="L814" s="47" t="s">
        <v>15</v>
      </c>
    </row>
    <row r="815" spans="1:12">
      <c r="A815" s="47">
        <v>814</v>
      </c>
      <c r="B815" s="47">
        <v>0</v>
      </c>
      <c r="C815" s="47">
        <v>3</v>
      </c>
      <c r="D815" s="47" t="s">
        <v>1123</v>
      </c>
      <c r="E815" s="47" t="s">
        <v>17</v>
      </c>
      <c r="F815" s="47">
        <v>6</v>
      </c>
      <c r="G815" s="47">
        <v>4</v>
      </c>
      <c r="H815" s="47">
        <v>2</v>
      </c>
      <c r="I815" s="47">
        <v>347082</v>
      </c>
      <c r="J815" s="47">
        <v>31.275</v>
      </c>
      <c r="L815" s="47" t="s">
        <v>15</v>
      </c>
    </row>
    <row r="816" spans="1:12">
      <c r="A816" s="47">
        <v>815</v>
      </c>
      <c r="B816" s="47">
        <v>0</v>
      </c>
      <c r="C816" s="47">
        <v>3</v>
      </c>
      <c r="D816" s="47" t="s">
        <v>1124</v>
      </c>
      <c r="E816" s="47" t="s">
        <v>13</v>
      </c>
      <c r="F816" s="47">
        <v>30.5</v>
      </c>
      <c r="G816" s="47">
        <v>0</v>
      </c>
      <c r="H816" s="47">
        <v>0</v>
      </c>
      <c r="I816" s="47">
        <v>364499</v>
      </c>
      <c r="J816" s="47">
        <v>8.05</v>
      </c>
      <c r="L816" s="47" t="s">
        <v>15</v>
      </c>
    </row>
    <row r="817" spans="1:12">
      <c r="A817" s="47">
        <v>816</v>
      </c>
      <c r="B817" s="47">
        <v>0</v>
      </c>
      <c r="C817" s="47">
        <v>1</v>
      </c>
      <c r="D817" s="47" t="s">
        <v>1125</v>
      </c>
      <c r="E817" s="47" t="s">
        <v>13</v>
      </c>
      <c r="G817" s="47">
        <v>0</v>
      </c>
      <c r="H817" s="47">
        <v>0</v>
      </c>
      <c r="I817" s="47">
        <v>112058</v>
      </c>
      <c r="J817" s="47">
        <v>0</v>
      </c>
      <c r="K817" s="47" t="s">
        <v>1126</v>
      </c>
      <c r="L817" s="47" t="s">
        <v>15</v>
      </c>
    </row>
    <row r="818" spans="1:12">
      <c r="A818" s="47">
        <v>817</v>
      </c>
      <c r="B818" s="47">
        <v>0</v>
      </c>
      <c r="C818" s="47">
        <v>3</v>
      </c>
      <c r="D818" s="47" t="s">
        <v>1127</v>
      </c>
      <c r="E818" s="47" t="s">
        <v>17</v>
      </c>
      <c r="F818" s="47">
        <v>23</v>
      </c>
      <c r="G818" s="47">
        <v>0</v>
      </c>
      <c r="H818" s="47">
        <v>0</v>
      </c>
      <c r="I818" s="47" t="s">
        <v>1128</v>
      </c>
      <c r="J818" s="47">
        <v>7.925</v>
      </c>
      <c r="L818" s="47" t="s">
        <v>15</v>
      </c>
    </row>
    <row r="819" spans="1:12">
      <c r="A819" s="47">
        <v>818</v>
      </c>
      <c r="B819" s="47">
        <v>0</v>
      </c>
      <c r="C819" s="47">
        <v>2</v>
      </c>
      <c r="D819" s="47" t="s">
        <v>1129</v>
      </c>
      <c r="E819" s="47" t="s">
        <v>13</v>
      </c>
      <c r="F819" s="47">
        <v>31</v>
      </c>
      <c r="G819" s="47">
        <v>1</v>
      </c>
      <c r="H819" s="47">
        <v>1</v>
      </c>
      <c r="I819" s="47" t="s">
        <v>1130</v>
      </c>
      <c r="J819" s="47">
        <v>37.0042</v>
      </c>
      <c r="L819" s="47" t="s">
        <v>20</v>
      </c>
    </row>
    <row r="820" spans="1:12">
      <c r="A820" s="47">
        <v>819</v>
      </c>
      <c r="B820" s="47">
        <v>0</v>
      </c>
      <c r="C820" s="47">
        <v>3</v>
      </c>
      <c r="D820" s="47" t="s">
        <v>1131</v>
      </c>
      <c r="E820" s="47" t="s">
        <v>13</v>
      </c>
      <c r="F820" s="47">
        <v>43</v>
      </c>
      <c r="G820" s="47">
        <v>0</v>
      </c>
      <c r="H820" s="47">
        <v>0</v>
      </c>
      <c r="I820" s="47" t="s">
        <v>1132</v>
      </c>
      <c r="J820" s="47">
        <v>6.45</v>
      </c>
      <c r="L820" s="47" t="s">
        <v>15</v>
      </c>
    </row>
    <row r="821" spans="1:12">
      <c r="A821" s="47">
        <v>820</v>
      </c>
      <c r="B821" s="47">
        <v>0</v>
      </c>
      <c r="C821" s="47">
        <v>3</v>
      </c>
      <c r="D821" s="47" t="s">
        <v>1133</v>
      </c>
      <c r="E821" s="47" t="s">
        <v>13</v>
      </c>
      <c r="F821" s="47">
        <v>10</v>
      </c>
      <c r="G821" s="47">
        <v>3</v>
      </c>
      <c r="H821" s="47">
        <v>2</v>
      </c>
      <c r="I821" s="47">
        <v>347088</v>
      </c>
      <c r="J821" s="47">
        <v>27.9</v>
      </c>
      <c r="L821" s="47" t="s">
        <v>15</v>
      </c>
    </row>
    <row r="822" spans="1:12">
      <c r="A822" s="47">
        <v>821</v>
      </c>
      <c r="B822" s="47">
        <v>1</v>
      </c>
      <c r="C822" s="47">
        <v>1</v>
      </c>
      <c r="D822" s="47" t="s">
        <v>1134</v>
      </c>
      <c r="E822" s="47" t="s">
        <v>17</v>
      </c>
      <c r="F822" s="47">
        <v>52</v>
      </c>
      <c r="G822" s="47">
        <v>1</v>
      </c>
      <c r="H822" s="47">
        <v>1</v>
      </c>
      <c r="I822" s="47">
        <v>12749</v>
      </c>
      <c r="J822" s="47">
        <v>93.5</v>
      </c>
      <c r="K822" s="47" t="s">
        <v>1135</v>
      </c>
      <c r="L822" s="47" t="s">
        <v>15</v>
      </c>
    </row>
    <row r="823" spans="1:12">
      <c r="A823" s="47">
        <v>822</v>
      </c>
      <c r="B823" s="47">
        <v>1</v>
      </c>
      <c r="C823" s="47">
        <v>3</v>
      </c>
      <c r="D823" s="47" t="s">
        <v>1136</v>
      </c>
      <c r="E823" s="47" t="s">
        <v>13</v>
      </c>
      <c r="F823" s="47">
        <v>27</v>
      </c>
      <c r="G823" s="47">
        <v>0</v>
      </c>
      <c r="H823" s="47">
        <v>0</v>
      </c>
      <c r="I823" s="47">
        <v>315098</v>
      </c>
      <c r="J823" s="47">
        <v>8.6625</v>
      </c>
      <c r="L823" s="47" t="s">
        <v>15</v>
      </c>
    </row>
    <row r="824" spans="1:12">
      <c r="A824" s="47">
        <v>823</v>
      </c>
      <c r="B824" s="47">
        <v>0</v>
      </c>
      <c r="C824" s="47">
        <v>1</v>
      </c>
      <c r="D824" s="47" t="s">
        <v>1137</v>
      </c>
      <c r="E824" s="47" t="s">
        <v>13</v>
      </c>
      <c r="F824" s="47">
        <v>38</v>
      </c>
      <c r="G824" s="47">
        <v>0</v>
      </c>
      <c r="H824" s="47">
        <v>0</v>
      </c>
      <c r="I824" s="47">
        <v>19972</v>
      </c>
      <c r="J824" s="47">
        <v>0</v>
      </c>
      <c r="L824" s="47" t="s">
        <v>15</v>
      </c>
    </row>
    <row r="825" spans="1:12">
      <c r="A825" s="47">
        <v>824</v>
      </c>
      <c r="B825" s="47">
        <v>1</v>
      </c>
      <c r="C825" s="47">
        <v>3</v>
      </c>
      <c r="D825" s="47" t="s">
        <v>1138</v>
      </c>
      <c r="E825" s="47" t="s">
        <v>17</v>
      </c>
      <c r="F825" s="47">
        <v>27</v>
      </c>
      <c r="G825" s="47">
        <v>0</v>
      </c>
      <c r="H825" s="47">
        <v>1</v>
      </c>
      <c r="I825" s="47">
        <v>392096</v>
      </c>
      <c r="J825" s="47">
        <v>12.475</v>
      </c>
      <c r="K825" s="47" t="s">
        <v>1048</v>
      </c>
      <c r="L825" s="47" t="s">
        <v>15</v>
      </c>
    </row>
    <row r="826" spans="1:12">
      <c r="A826" s="47">
        <v>825</v>
      </c>
      <c r="B826" s="47">
        <v>0</v>
      </c>
      <c r="C826" s="47">
        <v>3</v>
      </c>
      <c r="D826" s="47" t="s">
        <v>1139</v>
      </c>
      <c r="E826" s="47" t="s">
        <v>13</v>
      </c>
      <c r="F826" s="47">
        <v>2</v>
      </c>
      <c r="G826" s="47">
        <v>4</v>
      </c>
      <c r="H826" s="47">
        <v>1</v>
      </c>
      <c r="I826" s="47">
        <v>3101295</v>
      </c>
      <c r="J826" s="47">
        <v>39.6875</v>
      </c>
      <c r="L826" s="47" t="s">
        <v>15</v>
      </c>
    </row>
    <row r="827" spans="1:12">
      <c r="A827" s="47">
        <v>826</v>
      </c>
      <c r="B827" s="47">
        <v>0</v>
      </c>
      <c r="C827" s="47">
        <v>3</v>
      </c>
      <c r="D827" s="47" t="s">
        <v>1140</v>
      </c>
      <c r="E827" s="47" t="s">
        <v>13</v>
      </c>
      <c r="G827" s="47">
        <v>0</v>
      </c>
      <c r="H827" s="47">
        <v>0</v>
      </c>
      <c r="I827" s="47">
        <v>368323</v>
      </c>
      <c r="J827" s="47">
        <v>6.95</v>
      </c>
      <c r="L827" s="47" t="s">
        <v>27</v>
      </c>
    </row>
    <row r="828" spans="1:12">
      <c r="A828" s="47">
        <v>827</v>
      </c>
      <c r="B828" s="47">
        <v>0</v>
      </c>
      <c r="C828" s="47">
        <v>3</v>
      </c>
      <c r="D828" s="47" t="s">
        <v>1141</v>
      </c>
      <c r="E828" s="47" t="s">
        <v>13</v>
      </c>
      <c r="G828" s="47">
        <v>0</v>
      </c>
      <c r="H828" s="47">
        <v>0</v>
      </c>
      <c r="I828" s="47">
        <v>1601</v>
      </c>
      <c r="J828" s="47">
        <v>56.4958</v>
      </c>
      <c r="L828" s="47" t="s">
        <v>15</v>
      </c>
    </row>
    <row r="829" spans="1:12">
      <c r="A829" s="47">
        <v>828</v>
      </c>
      <c r="B829" s="47">
        <v>1</v>
      </c>
      <c r="C829" s="47">
        <v>2</v>
      </c>
      <c r="D829" s="47" t="s">
        <v>1142</v>
      </c>
      <c r="E829" s="47" t="s">
        <v>13</v>
      </c>
      <c r="F829" s="47">
        <v>1</v>
      </c>
      <c r="G829" s="47">
        <v>0</v>
      </c>
      <c r="H829" s="47">
        <v>2</v>
      </c>
      <c r="I829" s="47" t="s">
        <v>1130</v>
      </c>
      <c r="J829" s="47">
        <v>37.0042</v>
      </c>
      <c r="L829" s="47" t="s">
        <v>20</v>
      </c>
    </row>
    <row r="830" spans="1:12">
      <c r="A830" s="47">
        <v>829</v>
      </c>
      <c r="B830" s="47">
        <v>1</v>
      </c>
      <c r="C830" s="47">
        <v>3</v>
      </c>
      <c r="D830" s="47" t="s">
        <v>1143</v>
      </c>
      <c r="E830" s="47" t="s">
        <v>13</v>
      </c>
      <c r="G830" s="47">
        <v>0</v>
      </c>
      <c r="H830" s="47">
        <v>0</v>
      </c>
      <c r="I830" s="47">
        <v>367228</v>
      </c>
      <c r="J830" s="47">
        <v>7.75</v>
      </c>
      <c r="L830" s="47" t="s">
        <v>27</v>
      </c>
    </row>
    <row r="831" spans="1:12">
      <c r="A831" s="47">
        <v>830</v>
      </c>
      <c r="B831" s="47">
        <v>1</v>
      </c>
      <c r="C831" s="47">
        <v>1</v>
      </c>
      <c r="D831" s="47" t="s">
        <v>1144</v>
      </c>
      <c r="E831" s="47" t="s">
        <v>17</v>
      </c>
      <c r="F831" s="47">
        <v>62</v>
      </c>
      <c r="G831" s="47">
        <v>0</v>
      </c>
      <c r="H831" s="47">
        <v>0</v>
      </c>
      <c r="I831" s="47">
        <v>113572</v>
      </c>
      <c r="J831" s="47">
        <v>80</v>
      </c>
      <c r="K831" s="47" t="s">
        <v>108</v>
      </c>
    </row>
    <row r="832" spans="1:12">
      <c r="A832" s="47">
        <v>831</v>
      </c>
      <c r="B832" s="47">
        <v>1</v>
      </c>
      <c r="C832" s="47">
        <v>3</v>
      </c>
      <c r="D832" s="47" t="s">
        <v>1145</v>
      </c>
      <c r="E832" s="47" t="s">
        <v>17</v>
      </c>
      <c r="F832" s="47">
        <v>15</v>
      </c>
      <c r="G832" s="47">
        <v>1</v>
      </c>
      <c r="H832" s="47">
        <v>0</v>
      </c>
      <c r="I832" s="47">
        <v>2659</v>
      </c>
      <c r="J832" s="47">
        <v>14.4542</v>
      </c>
      <c r="L832" s="47" t="s">
        <v>20</v>
      </c>
    </row>
    <row r="833" spans="1:12">
      <c r="A833" s="47">
        <v>832</v>
      </c>
      <c r="B833" s="47">
        <v>1</v>
      </c>
      <c r="C833" s="47">
        <v>2</v>
      </c>
      <c r="D833" s="47" t="s">
        <v>1146</v>
      </c>
      <c r="E833" s="47" t="s">
        <v>13</v>
      </c>
      <c r="F833" s="47">
        <v>0.83</v>
      </c>
      <c r="G833" s="47">
        <v>1</v>
      </c>
      <c r="H833" s="47">
        <v>1</v>
      </c>
      <c r="I833" s="47">
        <v>29106</v>
      </c>
      <c r="J833" s="47">
        <v>18.75</v>
      </c>
      <c r="L833" s="47" t="s">
        <v>15</v>
      </c>
    </row>
    <row r="834" spans="1:12">
      <c r="A834" s="47">
        <v>833</v>
      </c>
      <c r="B834" s="47">
        <v>0</v>
      </c>
      <c r="C834" s="47">
        <v>3</v>
      </c>
      <c r="D834" s="47" t="s">
        <v>1147</v>
      </c>
      <c r="E834" s="47" t="s">
        <v>13</v>
      </c>
      <c r="G834" s="47">
        <v>0</v>
      </c>
      <c r="H834" s="47">
        <v>0</v>
      </c>
      <c r="I834" s="47">
        <v>2671</v>
      </c>
      <c r="J834" s="47">
        <v>7.2292</v>
      </c>
      <c r="L834" s="47" t="s">
        <v>20</v>
      </c>
    </row>
    <row r="835" spans="1:12">
      <c r="A835" s="47">
        <v>834</v>
      </c>
      <c r="B835" s="47">
        <v>0</v>
      </c>
      <c r="C835" s="47">
        <v>3</v>
      </c>
      <c r="D835" s="47" t="s">
        <v>1148</v>
      </c>
      <c r="E835" s="47" t="s">
        <v>13</v>
      </c>
      <c r="F835" s="47">
        <v>23</v>
      </c>
      <c r="G835" s="47">
        <v>0</v>
      </c>
      <c r="H835" s="47">
        <v>0</v>
      </c>
      <c r="I835" s="47">
        <v>347468</v>
      </c>
      <c r="J835" s="47">
        <v>7.8542</v>
      </c>
      <c r="L835" s="47" t="s">
        <v>15</v>
      </c>
    </row>
    <row r="836" spans="1:12">
      <c r="A836" s="47">
        <v>835</v>
      </c>
      <c r="B836" s="47">
        <v>0</v>
      </c>
      <c r="C836" s="47">
        <v>3</v>
      </c>
      <c r="D836" s="47" t="s">
        <v>1149</v>
      </c>
      <c r="E836" s="47" t="s">
        <v>13</v>
      </c>
      <c r="F836" s="47">
        <v>18</v>
      </c>
      <c r="G836" s="47">
        <v>0</v>
      </c>
      <c r="H836" s="47">
        <v>0</v>
      </c>
      <c r="I836" s="47">
        <v>2223</v>
      </c>
      <c r="J836" s="47">
        <v>8.3</v>
      </c>
      <c r="L836" s="47" t="s">
        <v>15</v>
      </c>
    </row>
    <row r="837" spans="1:12">
      <c r="A837" s="47">
        <v>836</v>
      </c>
      <c r="B837" s="47">
        <v>1</v>
      </c>
      <c r="C837" s="47">
        <v>1</v>
      </c>
      <c r="D837" s="47" t="s">
        <v>1150</v>
      </c>
      <c r="E837" s="47" t="s">
        <v>17</v>
      </c>
      <c r="F837" s="47">
        <v>39</v>
      </c>
      <c r="G837" s="47">
        <v>1</v>
      </c>
      <c r="H837" s="47">
        <v>1</v>
      </c>
      <c r="I837" s="47" t="s">
        <v>1151</v>
      </c>
      <c r="J837" s="47">
        <v>83.1583</v>
      </c>
      <c r="K837" s="47" t="s">
        <v>1152</v>
      </c>
      <c r="L837" s="47" t="s">
        <v>20</v>
      </c>
    </row>
    <row r="838" spans="1:12">
      <c r="A838" s="47">
        <v>837</v>
      </c>
      <c r="B838" s="47">
        <v>0</v>
      </c>
      <c r="C838" s="47">
        <v>3</v>
      </c>
      <c r="D838" s="47" t="s">
        <v>1153</v>
      </c>
      <c r="E838" s="47" t="s">
        <v>13</v>
      </c>
      <c r="F838" s="47">
        <v>21</v>
      </c>
      <c r="G838" s="47">
        <v>0</v>
      </c>
      <c r="H838" s="47">
        <v>0</v>
      </c>
      <c r="I838" s="47">
        <v>315097</v>
      </c>
      <c r="J838" s="47">
        <v>8.6625</v>
      </c>
      <c r="L838" s="47" t="s">
        <v>15</v>
      </c>
    </row>
    <row r="839" spans="1:12">
      <c r="A839" s="47">
        <v>838</v>
      </c>
      <c r="B839" s="47">
        <v>0</v>
      </c>
      <c r="C839" s="47">
        <v>3</v>
      </c>
      <c r="D839" s="47" t="s">
        <v>1154</v>
      </c>
      <c r="E839" s="47" t="s">
        <v>13</v>
      </c>
      <c r="G839" s="47">
        <v>0</v>
      </c>
      <c r="H839" s="47">
        <v>0</v>
      </c>
      <c r="I839" s="47">
        <v>392092</v>
      </c>
      <c r="J839" s="47">
        <v>8.05</v>
      </c>
      <c r="L839" s="47" t="s">
        <v>15</v>
      </c>
    </row>
    <row r="840" spans="1:12">
      <c r="A840" s="47">
        <v>839</v>
      </c>
      <c r="B840" s="47">
        <v>1</v>
      </c>
      <c r="C840" s="47">
        <v>3</v>
      </c>
      <c r="D840" s="47" t="s">
        <v>1155</v>
      </c>
      <c r="E840" s="47" t="s">
        <v>13</v>
      </c>
      <c r="F840" s="47">
        <v>32</v>
      </c>
      <c r="G840" s="47">
        <v>0</v>
      </c>
      <c r="H840" s="47">
        <v>0</v>
      </c>
      <c r="I840" s="47">
        <v>1601</v>
      </c>
      <c r="J840" s="47">
        <v>56.4958</v>
      </c>
      <c r="L840" s="47" t="s">
        <v>15</v>
      </c>
    </row>
    <row r="841" spans="1:12">
      <c r="A841" s="47">
        <v>840</v>
      </c>
      <c r="B841" s="47">
        <v>1</v>
      </c>
      <c r="C841" s="47">
        <v>1</v>
      </c>
      <c r="D841" s="47" t="s">
        <v>1156</v>
      </c>
      <c r="E841" s="47" t="s">
        <v>13</v>
      </c>
      <c r="G841" s="47">
        <v>0</v>
      </c>
      <c r="H841" s="47">
        <v>0</v>
      </c>
      <c r="I841" s="47">
        <v>11774</v>
      </c>
      <c r="J841" s="47">
        <v>29.7</v>
      </c>
      <c r="K841" s="47" t="s">
        <v>1157</v>
      </c>
      <c r="L841" s="47" t="s">
        <v>20</v>
      </c>
    </row>
    <row r="842" spans="1:12">
      <c r="A842" s="47">
        <v>841</v>
      </c>
      <c r="B842" s="47">
        <v>0</v>
      </c>
      <c r="C842" s="47">
        <v>3</v>
      </c>
      <c r="D842" s="47" t="s">
        <v>1158</v>
      </c>
      <c r="E842" s="47" t="s">
        <v>13</v>
      </c>
      <c r="F842" s="47">
        <v>20</v>
      </c>
      <c r="G842" s="47">
        <v>0</v>
      </c>
      <c r="H842" s="47">
        <v>0</v>
      </c>
      <c r="I842" s="47" t="s">
        <v>1159</v>
      </c>
      <c r="J842" s="47">
        <v>7.925</v>
      </c>
      <c r="L842" s="47" t="s">
        <v>15</v>
      </c>
    </row>
    <row r="843" spans="1:12">
      <c r="A843" s="47">
        <v>842</v>
      </c>
      <c r="B843" s="47">
        <v>0</v>
      </c>
      <c r="C843" s="47">
        <v>2</v>
      </c>
      <c r="D843" s="47" t="s">
        <v>1160</v>
      </c>
      <c r="E843" s="47" t="s">
        <v>13</v>
      </c>
      <c r="F843" s="47">
        <v>16</v>
      </c>
      <c r="G843" s="47">
        <v>0</v>
      </c>
      <c r="H843" s="47">
        <v>0</v>
      </c>
      <c r="I843" s="47" t="s">
        <v>1072</v>
      </c>
      <c r="J843" s="47">
        <v>10.5</v>
      </c>
      <c r="L843" s="47" t="s">
        <v>15</v>
      </c>
    </row>
    <row r="844" spans="1:12">
      <c r="A844" s="47">
        <v>843</v>
      </c>
      <c r="B844" s="47">
        <v>1</v>
      </c>
      <c r="C844" s="47">
        <v>1</v>
      </c>
      <c r="D844" s="47" t="s">
        <v>1161</v>
      </c>
      <c r="E844" s="47" t="s">
        <v>17</v>
      </c>
      <c r="F844" s="47">
        <v>30</v>
      </c>
      <c r="G844" s="47">
        <v>0</v>
      </c>
      <c r="H844" s="47">
        <v>0</v>
      </c>
      <c r="I844" s="47">
        <v>113798</v>
      </c>
      <c r="J844" s="47">
        <v>31</v>
      </c>
      <c r="L844" s="47" t="s">
        <v>20</v>
      </c>
    </row>
    <row r="845" spans="1:12">
      <c r="A845" s="47">
        <v>844</v>
      </c>
      <c r="B845" s="47">
        <v>0</v>
      </c>
      <c r="C845" s="47">
        <v>3</v>
      </c>
      <c r="D845" s="47" t="s">
        <v>1162</v>
      </c>
      <c r="E845" s="47" t="s">
        <v>13</v>
      </c>
      <c r="F845" s="47">
        <v>34.5</v>
      </c>
      <c r="G845" s="47">
        <v>0</v>
      </c>
      <c r="H845" s="47">
        <v>0</v>
      </c>
      <c r="I845" s="47">
        <v>2683</v>
      </c>
      <c r="J845" s="47">
        <v>6.4375</v>
      </c>
      <c r="L845" s="47" t="s">
        <v>20</v>
      </c>
    </row>
    <row r="846" spans="1:12">
      <c r="A846" s="47">
        <v>845</v>
      </c>
      <c r="B846" s="47">
        <v>0</v>
      </c>
      <c r="C846" s="47">
        <v>3</v>
      </c>
      <c r="D846" s="47" t="s">
        <v>1163</v>
      </c>
      <c r="E846" s="47" t="s">
        <v>13</v>
      </c>
      <c r="F846" s="47">
        <v>17</v>
      </c>
      <c r="G846" s="47">
        <v>0</v>
      </c>
      <c r="H846" s="47">
        <v>0</v>
      </c>
      <c r="I846" s="47">
        <v>315090</v>
      </c>
      <c r="J846" s="47">
        <v>8.6625</v>
      </c>
      <c r="L846" s="47" t="s">
        <v>15</v>
      </c>
    </row>
    <row r="847" spans="1:12">
      <c r="A847" s="47">
        <v>846</v>
      </c>
      <c r="B847" s="47">
        <v>0</v>
      </c>
      <c r="C847" s="47">
        <v>3</v>
      </c>
      <c r="D847" s="47" t="s">
        <v>1164</v>
      </c>
      <c r="E847" s="47" t="s">
        <v>13</v>
      </c>
      <c r="F847" s="47">
        <v>42</v>
      </c>
      <c r="G847" s="47">
        <v>0</v>
      </c>
      <c r="H847" s="47">
        <v>0</v>
      </c>
      <c r="I847" s="47" t="s">
        <v>1165</v>
      </c>
      <c r="J847" s="47">
        <v>7.55</v>
      </c>
      <c r="L847" s="47" t="s">
        <v>15</v>
      </c>
    </row>
    <row r="848" spans="1:12">
      <c r="A848" s="47">
        <v>847</v>
      </c>
      <c r="B848" s="47">
        <v>0</v>
      </c>
      <c r="C848" s="47">
        <v>3</v>
      </c>
      <c r="D848" s="47" t="s">
        <v>1166</v>
      </c>
      <c r="E848" s="47" t="s">
        <v>13</v>
      </c>
      <c r="G848" s="47">
        <v>8</v>
      </c>
      <c r="H848" s="47">
        <v>2</v>
      </c>
      <c r="I848" s="47" t="s">
        <v>251</v>
      </c>
      <c r="J848" s="47">
        <v>69.55</v>
      </c>
      <c r="L848" s="47" t="s">
        <v>15</v>
      </c>
    </row>
    <row r="849" spans="1:12">
      <c r="A849" s="47">
        <v>848</v>
      </c>
      <c r="B849" s="47">
        <v>0</v>
      </c>
      <c r="C849" s="47">
        <v>3</v>
      </c>
      <c r="D849" s="47" t="s">
        <v>1167</v>
      </c>
      <c r="E849" s="47" t="s">
        <v>13</v>
      </c>
      <c r="F849" s="47">
        <v>35</v>
      </c>
      <c r="G849" s="47">
        <v>0</v>
      </c>
      <c r="H849" s="47">
        <v>0</v>
      </c>
      <c r="I849" s="47">
        <v>349213</v>
      </c>
      <c r="J849" s="47">
        <v>7.8958</v>
      </c>
      <c r="L849" s="47" t="s">
        <v>20</v>
      </c>
    </row>
    <row r="850" spans="1:12">
      <c r="A850" s="47">
        <v>849</v>
      </c>
      <c r="B850" s="47">
        <v>0</v>
      </c>
      <c r="C850" s="47">
        <v>2</v>
      </c>
      <c r="D850" s="47" t="s">
        <v>1168</v>
      </c>
      <c r="E850" s="47" t="s">
        <v>13</v>
      </c>
      <c r="F850" s="47">
        <v>28</v>
      </c>
      <c r="G850" s="47">
        <v>0</v>
      </c>
      <c r="H850" s="47">
        <v>1</v>
      </c>
      <c r="I850" s="47">
        <v>248727</v>
      </c>
      <c r="J850" s="47">
        <v>33</v>
      </c>
      <c r="L850" s="47" t="s">
        <v>15</v>
      </c>
    </row>
    <row r="851" spans="1:12">
      <c r="A851" s="47">
        <v>850</v>
      </c>
      <c r="B851" s="47">
        <v>1</v>
      </c>
      <c r="C851" s="47">
        <v>1</v>
      </c>
      <c r="D851" s="47" t="s">
        <v>1169</v>
      </c>
      <c r="E851" s="47" t="s">
        <v>17</v>
      </c>
      <c r="G851" s="47">
        <v>1</v>
      </c>
      <c r="H851" s="47">
        <v>0</v>
      </c>
      <c r="I851" s="47">
        <v>17453</v>
      </c>
      <c r="J851" s="47">
        <v>89.1042</v>
      </c>
      <c r="K851" s="47" t="s">
        <v>655</v>
      </c>
      <c r="L851" s="47" t="s">
        <v>20</v>
      </c>
    </row>
    <row r="852" spans="1:12">
      <c r="A852" s="47">
        <v>851</v>
      </c>
      <c r="B852" s="47">
        <v>0</v>
      </c>
      <c r="C852" s="47">
        <v>3</v>
      </c>
      <c r="D852" s="47" t="s">
        <v>1170</v>
      </c>
      <c r="E852" s="47" t="s">
        <v>13</v>
      </c>
      <c r="F852" s="47">
        <v>4</v>
      </c>
      <c r="G852" s="47">
        <v>4</v>
      </c>
      <c r="H852" s="47">
        <v>2</v>
      </c>
      <c r="I852" s="47">
        <v>347082</v>
      </c>
      <c r="J852" s="47">
        <v>31.275</v>
      </c>
      <c r="L852" s="47" t="s">
        <v>15</v>
      </c>
    </row>
    <row r="853" spans="1:12">
      <c r="A853" s="47">
        <v>852</v>
      </c>
      <c r="B853" s="47">
        <v>0</v>
      </c>
      <c r="C853" s="47">
        <v>3</v>
      </c>
      <c r="D853" s="47" t="s">
        <v>1171</v>
      </c>
      <c r="E853" s="47" t="s">
        <v>13</v>
      </c>
      <c r="F853" s="47">
        <v>74</v>
      </c>
      <c r="G853" s="47">
        <v>0</v>
      </c>
      <c r="H853" s="47">
        <v>0</v>
      </c>
      <c r="I853" s="47">
        <v>347060</v>
      </c>
      <c r="J853" s="47">
        <v>7.775</v>
      </c>
      <c r="L853" s="47" t="s">
        <v>15</v>
      </c>
    </row>
    <row r="854" spans="1:12">
      <c r="A854" s="47">
        <v>853</v>
      </c>
      <c r="B854" s="47">
        <v>0</v>
      </c>
      <c r="C854" s="47">
        <v>3</v>
      </c>
      <c r="D854" s="47" t="s">
        <v>1172</v>
      </c>
      <c r="E854" s="47" t="s">
        <v>17</v>
      </c>
      <c r="F854" s="47">
        <v>9</v>
      </c>
      <c r="G854" s="47">
        <v>1</v>
      </c>
      <c r="H854" s="47">
        <v>1</v>
      </c>
      <c r="I854" s="47">
        <v>2678</v>
      </c>
      <c r="J854" s="47">
        <v>15.2458</v>
      </c>
      <c r="L854" s="47" t="s">
        <v>20</v>
      </c>
    </row>
    <row r="855" spans="1:12">
      <c r="A855" s="47">
        <v>854</v>
      </c>
      <c r="B855" s="47">
        <v>1</v>
      </c>
      <c r="C855" s="47">
        <v>1</v>
      </c>
      <c r="D855" s="47" t="s">
        <v>1173</v>
      </c>
      <c r="E855" s="47" t="s">
        <v>17</v>
      </c>
      <c r="F855" s="47">
        <v>16</v>
      </c>
      <c r="G855" s="47">
        <v>0</v>
      </c>
      <c r="H855" s="47">
        <v>1</v>
      </c>
      <c r="I855" s="47" t="s">
        <v>1174</v>
      </c>
      <c r="J855" s="47">
        <v>39.4</v>
      </c>
      <c r="K855" s="47" t="s">
        <v>1175</v>
      </c>
      <c r="L855" s="47" t="s">
        <v>15</v>
      </c>
    </row>
    <row r="856" spans="1:12">
      <c r="A856" s="47">
        <v>855</v>
      </c>
      <c r="B856" s="47">
        <v>0</v>
      </c>
      <c r="C856" s="47">
        <v>2</v>
      </c>
      <c r="D856" s="47" t="s">
        <v>1176</v>
      </c>
      <c r="E856" s="47" t="s">
        <v>17</v>
      </c>
      <c r="F856" s="47">
        <v>44</v>
      </c>
      <c r="G856" s="47">
        <v>1</v>
      </c>
      <c r="H856" s="47">
        <v>0</v>
      </c>
      <c r="I856" s="47">
        <v>244252</v>
      </c>
      <c r="J856" s="47">
        <v>26</v>
      </c>
      <c r="L856" s="47" t="s">
        <v>15</v>
      </c>
    </row>
    <row r="857" spans="1:12">
      <c r="A857" s="47">
        <v>856</v>
      </c>
      <c r="B857" s="47">
        <v>1</v>
      </c>
      <c r="C857" s="47">
        <v>3</v>
      </c>
      <c r="D857" s="47" t="s">
        <v>1177</v>
      </c>
      <c r="E857" s="47" t="s">
        <v>17</v>
      </c>
      <c r="F857" s="47">
        <v>18</v>
      </c>
      <c r="G857" s="47">
        <v>0</v>
      </c>
      <c r="H857" s="47">
        <v>1</v>
      </c>
      <c r="I857" s="47">
        <v>392091</v>
      </c>
      <c r="J857" s="47">
        <v>9.35</v>
      </c>
      <c r="L857" s="47" t="s">
        <v>15</v>
      </c>
    </row>
    <row r="858" spans="1:12">
      <c r="A858" s="47">
        <v>857</v>
      </c>
      <c r="B858" s="47">
        <v>1</v>
      </c>
      <c r="C858" s="47">
        <v>1</v>
      </c>
      <c r="D858" s="47" t="s">
        <v>1178</v>
      </c>
      <c r="E858" s="47" t="s">
        <v>17</v>
      </c>
      <c r="F858" s="47">
        <v>45</v>
      </c>
      <c r="G858" s="47">
        <v>1</v>
      </c>
      <c r="H858" s="47">
        <v>1</v>
      </c>
      <c r="I858" s="47">
        <v>36928</v>
      </c>
      <c r="J858" s="47">
        <v>164.8667</v>
      </c>
      <c r="L858" s="47" t="s">
        <v>15</v>
      </c>
    </row>
    <row r="859" spans="1:12">
      <c r="A859" s="47">
        <v>858</v>
      </c>
      <c r="B859" s="47">
        <v>1</v>
      </c>
      <c r="C859" s="47">
        <v>1</v>
      </c>
      <c r="D859" s="47" t="s">
        <v>1179</v>
      </c>
      <c r="E859" s="47" t="s">
        <v>13</v>
      </c>
      <c r="F859" s="47">
        <v>51</v>
      </c>
      <c r="G859" s="47">
        <v>0</v>
      </c>
      <c r="H859" s="47">
        <v>0</v>
      </c>
      <c r="I859" s="47">
        <v>113055</v>
      </c>
      <c r="J859" s="47">
        <v>26.55</v>
      </c>
      <c r="K859" s="47" t="s">
        <v>1180</v>
      </c>
      <c r="L859" s="47" t="s">
        <v>15</v>
      </c>
    </row>
    <row r="860" spans="1:12">
      <c r="A860" s="47">
        <v>859</v>
      </c>
      <c r="B860" s="47">
        <v>1</v>
      </c>
      <c r="C860" s="47">
        <v>3</v>
      </c>
      <c r="D860" s="47" t="s">
        <v>1181</v>
      </c>
      <c r="E860" s="47" t="s">
        <v>17</v>
      </c>
      <c r="F860" s="47">
        <v>24</v>
      </c>
      <c r="G860" s="47">
        <v>0</v>
      </c>
      <c r="H860" s="47">
        <v>3</v>
      </c>
      <c r="I860" s="47">
        <v>2666</v>
      </c>
      <c r="J860" s="47">
        <v>19.2583</v>
      </c>
      <c r="L860" s="47" t="s">
        <v>20</v>
      </c>
    </row>
    <row r="861" spans="1:12">
      <c r="A861" s="47">
        <v>860</v>
      </c>
      <c r="B861" s="47">
        <v>0</v>
      </c>
      <c r="C861" s="47">
        <v>3</v>
      </c>
      <c r="D861" s="47" t="s">
        <v>1182</v>
      </c>
      <c r="E861" s="47" t="s">
        <v>13</v>
      </c>
      <c r="G861" s="47">
        <v>0</v>
      </c>
      <c r="H861" s="47">
        <v>0</v>
      </c>
      <c r="I861" s="47">
        <v>2629</v>
      </c>
      <c r="J861" s="47">
        <v>7.2292</v>
      </c>
      <c r="L861" s="47" t="s">
        <v>20</v>
      </c>
    </row>
    <row r="862" spans="1:12">
      <c r="A862" s="47">
        <v>861</v>
      </c>
      <c r="B862" s="47">
        <v>0</v>
      </c>
      <c r="C862" s="47">
        <v>3</v>
      </c>
      <c r="D862" s="47" t="s">
        <v>1183</v>
      </c>
      <c r="E862" s="47" t="s">
        <v>13</v>
      </c>
      <c r="F862" s="47">
        <v>41</v>
      </c>
      <c r="G862" s="47">
        <v>2</v>
      </c>
      <c r="H862" s="47">
        <v>0</v>
      </c>
      <c r="I862" s="47">
        <v>350026</v>
      </c>
      <c r="J862" s="47">
        <v>14.1083</v>
      </c>
      <c r="L862" s="47" t="s">
        <v>15</v>
      </c>
    </row>
    <row r="863" spans="1:12">
      <c r="A863" s="47">
        <v>862</v>
      </c>
      <c r="B863" s="47">
        <v>0</v>
      </c>
      <c r="C863" s="47">
        <v>2</v>
      </c>
      <c r="D863" s="47" t="s">
        <v>1184</v>
      </c>
      <c r="E863" s="47" t="s">
        <v>13</v>
      </c>
      <c r="F863" s="47">
        <v>21</v>
      </c>
      <c r="G863" s="47">
        <v>1</v>
      </c>
      <c r="H863" s="47">
        <v>0</v>
      </c>
      <c r="I863" s="47">
        <v>28134</v>
      </c>
      <c r="J863" s="47">
        <v>11.5</v>
      </c>
      <c r="L863" s="47" t="s">
        <v>15</v>
      </c>
    </row>
    <row r="864" spans="1:12">
      <c r="A864" s="47">
        <v>863</v>
      </c>
      <c r="B864" s="47">
        <v>1</v>
      </c>
      <c r="C864" s="47">
        <v>1</v>
      </c>
      <c r="D864" s="47" t="s">
        <v>1185</v>
      </c>
      <c r="E864" s="47" t="s">
        <v>17</v>
      </c>
      <c r="F864" s="47">
        <v>48</v>
      </c>
      <c r="G864" s="47">
        <v>0</v>
      </c>
      <c r="H864" s="47">
        <v>0</v>
      </c>
      <c r="I864" s="47">
        <v>17466</v>
      </c>
      <c r="J864" s="47">
        <v>25.9292</v>
      </c>
      <c r="K864" s="47" t="s">
        <v>1105</v>
      </c>
      <c r="L864" s="47" t="s">
        <v>15</v>
      </c>
    </row>
    <row r="865" spans="1:12">
      <c r="A865" s="47">
        <v>864</v>
      </c>
      <c r="B865" s="47">
        <v>0</v>
      </c>
      <c r="C865" s="47">
        <v>3</v>
      </c>
      <c r="D865" s="47" t="s">
        <v>1186</v>
      </c>
      <c r="E865" s="47" t="s">
        <v>17</v>
      </c>
      <c r="G865" s="47">
        <v>8</v>
      </c>
      <c r="H865" s="47">
        <v>2</v>
      </c>
      <c r="I865" s="47" t="s">
        <v>251</v>
      </c>
      <c r="J865" s="47">
        <v>69.55</v>
      </c>
      <c r="L865" s="47" t="s">
        <v>15</v>
      </c>
    </row>
    <row r="866" spans="1:12">
      <c r="A866" s="47">
        <v>865</v>
      </c>
      <c r="B866" s="47">
        <v>0</v>
      </c>
      <c r="C866" s="47">
        <v>2</v>
      </c>
      <c r="D866" s="47" t="s">
        <v>1187</v>
      </c>
      <c r="E866" s="47" t="s">
        <v>13</v>
      </c>
      <c r="F866" s="47">
        <v>24</v>
      </c>
      <c r="G866" s="47">
        <v>0</v>
      </c>
      <c r="H866" s="47">
        <v>0</v>
      </c>
      <c r="I866" s="47">
        <v>233866</v>
      </c>
      <c r="J866" s="47">
        <v>13</v>
      </c>
      <c r="L866" s="47" t="s">
        <v>15</v>
      </c>
    </row>
    <row r="867" spans="1:12">
      <c r="A867" s="47">
        <v>866</v>
      </c>
      <c r="B867" s="47">
        <v>1</v>
      </c>
      <c r="C867" s="47">
        <v>2</v>
      </c>
      <c r="D867" s="47" t="s">
        <v>1188</v>
      </c>
      <c r="E867" s="47" t="s">
        <v>17</v>
      </c>
      <c r="F867" s="47">
        <v>42</v>
      </c>
      <c r="G867" s="47">
        <v>0</v>
      </c>
      <c r="H867" s="47">
        <v>0</v>
      </c>
      <c r="I867" s="47">
        <v>236852</v>
      </c>
      <c r="J867" s="47">
        <v>13</v>
      </c>
      <c r="L867" s="47" t="s">
        <v>15</v>
      </c>
    </row>
    <row r="868" spans="1:12">
      <c r="A868" s="47">
        <v>867</v>
      </c>
      <c r="B868" s="47">
        <v>1</v>
      </c>
      <c r="C868" s="47">
        <v>2</v>
      </c>
      <c r="D868" s="47" t="s">
        <v>1189</v>
      </c>
      <c r="E868" s="47" t="s">
        <v>17</v>
      </c>
      <c r="F868" s="47">
        <v>27</v>
      </c>
      <c r="G868" s="47">
        <v>1</v>
      </c>
      <c r="H868" s="47">
        <v>0</v>
      </c>
      <c r="I868" s="47" t="s">
        <v>1190</v>
      </c>
      <c r="J868" s="47">
        <v>13.8583</v>
      </c>
      <c r="L868" s="47" t="s">
        <v>20</v>
      </c>
    </row>
    <row r="869" spans="1:12">
      <c r="A869" s="47">
        <v>868</v>
      </c>
      <c r="B869" s="47">
        <v>0</v>
      </c>
      <c r="C869" s="47">
        <v>1</v>
      </c>
      <c r="D869" s="47" t="s">
        <v>1191</v>
      </c>
      <c r="E869" s="47" t="s">
        <v>13</v>
      </c>
      <c r="F869" s="47">
        <v>31</v>
      </c>
      <c r="G869" s="47">
        <v>0</v>
      </c>
      <c r="H869" s="47">
        <v>0</v>
      </c>
      <c r="I869" s="47" t="s">
        <v>1192</v>
      </c>
      <c r="J869" s="47">
        <v>50.4958</v>
      </c>
      <c r="K869" s="47" t="s">
        <v>1193</v>
      </c>
      <c r="L869" s="47" t="s">
        <v>15</v>
      </c>
    </row>
    <row r="870" spans="1:12">
      <c r="A870" s="47">
        <v>869</v>
      </c>
      <c r="B870" s="47">
        <v>0</v>
      </c>
      <c r="C870" s="47">
        <v>3</v>
      </c>
      <c r="D870" s="47" t="s">
        <v>1194</v>
      </c>
      <c r="E870" s="47" t="s">
        <v>13</v>
      </c>
      <c r="G870" s="47">
        <v>0</v>
      </c>
      <c r="H870" s="47">
        <v>0</v>
      </c>
      <c r="I870" s="47">
        <v>345777</v>
      </c>
      <c r="J870" s="47">
        <v>9.5</v>
      </c>
      <c r="L870" s="47" t="s">
        <v>15</v>
      </c>
    </row>
    <row r="871" spans="1:12">
      <c r="A871" s="47">
        <v>870</v>
      </c>
      <c r="B871" s="47">
        <v>1</v>
      </c>
      <c r="C871" s="47">
        <v>3</v>
      </c>
      <c r="D871" s="47" t="s">
        <v>1195</v>
      </c>
      <c r="E871" s="47" t="s">
        <v>13</v>
      </c>
      <c r="F871" s="47">
        <v>4</v>
      </c>
      <c r="G871" s="47">
        <v>1</v>
      </c>
      <c r="H871" s="47">
        <v>1</v>
      </c>
      <c r="I871" s="47">
        <v>347742</v>
      </c>
      <c r="J871" s="47">
        <v>11.1333</v>
      </c>
      <c r="L871" s="47" t="s">
        <v>15</v>
      </c>
    </row>
    <row r="872" spans="1:12">
      <c r="A872" s="47">
        <v>871</v>
      </c>
      <c r="B872" s="47">
        <v>0</v>
      </c>
      <c r="C872" s="47">
        <v>3</v>
      </c>
      <c r="D872" s="47" t="s">
        <v>1196</v>
      </c>
      <c r="E872" s="47" t="s">
        <v>13</v>
      </c>
      <c r="F872" s="47">
        <v>26</v>
      </c>
      <c r="G872" s="47">
        <v>0</v>
      </c>
      <c r="H872" s="47">
        <v>0</v>
      </c>
      <c r="I872" s="47">
        <v>349248</v>
      </c>
      <c r="J872" s="47">
        <v>7.8958</v>
      </c>
      <c r="L872" s="47" t="s">
        <v>15</v>
      </c>
    </row>
    <row r="873" spans="1:12">
      <c r="A873" s="47">
        <v>872</v>
      </c>
      <c r="B873" s="47">
        <v>1</v>
      </c>
      <c r="C873" s="47">
        <v>1</v>
      </c>
      <c r="D873" s="47" t="s">
        <v>1197</v>
      </c>
      <c r="E873" s="47" t="s">
        <v>17</v>
      </c>
      <c r="F873" s="47">
        <v>47</v>
      </c>
      <c r="G873" s="47">
        <v>1</v>
      </c>
      <c r="H873" s="47">
        <v>1</v>
      </c>
      <c r="I873" s="47">
        <v>11751</v>
      </c>
      <c r="J873" s="47">
        <v>52.5542</v>
      </c>
      <c r="K873" s="47" t="s">
        <v>377</v>
      </c>
      <c r="L873" s="47" t="s">
        <v>15</v>
      </c>
    </row>
    <row r="874" spans="1:12">
      <c r="A874" s="47">
        <v>873</v>
      </c>
      <c r="B874" s="47">
        <v>0</v>
      </c>
      <c r="C874" s="47">
        <v>1</v>
      </c>
      <c r="D874" s="47" t="s">
        <v>1198</v>
      </c>
      <c r="E874" s="47" t="s">
        <v>13</v>
      </c>
      <c r="F874" s="47">
        <v>33</v>
      </c>
      <c r="G874" s="47">
        <v>0</v>
      </c>
      <c r="H874" s="47">
        <v>0</v>
      </c>
      <c r="I874" s="47">
        <v>695</v>
      </c>
      <c r="J874" s="47">
        <v>5</v>
      </c>
      <c r="K874" s="47" t="s">
        <v>957</v>
      </c>
      <c r="L874" s="47" t="s">
        <v>15</v>
      </c>
    </row>
    <row r="875" spans="1:12">
      <c r="A875" s="47">
        <v>874</v>
      </c>
      <c r="B875" s="47">
        <v>0</v>
      </c>
      <c r="C875" s="47">
        <v>3</v>
      </c>
      <c r="D875" s="47" t="s">
        <v>1199</v>
      </c>
      <c r="E875" s="47" t="s">
        <v>13</v>
      </c>
      <c r="F875" s="47">
        <v>47</v>
      </c>
      <c r="G875" s="47">
        <v>0</v>
      </c>
      <c r="H875" s="47">
        <v>0</v>
      </c>
      <c r="I875" s="47">
        <v>345765</v>
      </c>
      <c r="J875" s="47">
        <v>9</v>
      </c>
      <c r="L875" s="47" t="s">
        <v>15</v>
      </c>
    </row>
    <row r="876" spans="1:12">
      <c r="A876" s="47">
        <v>875</v>
      </c>
      <c r="B876" s="47">
        <v>1</v>
      </c>
      <c r="C876" s="47">
        <v>2</v>
      </c>
      <c r="D876" s="47" t="s">
        <v>1200</v>
      </c>
      <c r="E876" s="47" t="s">
        <v>17</v>
      </c>
      <c r="F876" s="47">
        <v>28</v>
      </c>
      <c r="G876" s="47">
        <v>1</v>
      </c>
      <c r="H876" s="47">
        <v>0</v>
      </c>
      <c r="I876" s="47" t="s">
        <v>465</v>
      </c>
      <c r="J876" s="47">
        <v>24</v>
      </c>
      <c r="L876" s="47" t="s">
        <v>20</v>
      </c>
    </row>
    <row r="877" spans="1:12">
      <c r="A877" s="47">
        <v>876</v>
      </c>
      <c r="B877" s="47">
        <v>1</v>
      </c>
      <c r="C877" s="47">
        <v>3</v>
      </c>
      <c r="D877" s="47" t="s">
        <v>1201</v>
      </c>
      <c r="E877" s="47" t="s">
        <v>17</v>
      </c>
      <c r="F877" s="47">
        <v>15</v>
      </c>
      <c r="G877" s="47">
        <v>0</v>
      </c>
      <c r="H877" s="47">
        <v>0</v>
      </c>
      <c r="I877" s="47">
        <v>2667</v>
      </c>
      <c r="J877" s="47">
        <v>7.225</v>
      </c>
      <c r="L877" s="47" t="s">
        <v>20</v>
      </c>
    </row>
    <row r="878" spans="1:12">
      <c r="A878" s="47">
        <v>877</v>
      </c>
      <c r="B878" s="47">
        <v>0</v>
      </c>
      <c r="C878" s="47">
        <v>3</v>
      </c>
      <c r="D878" s="47" t="s">
        <v>1202</v>
      </c>
      <c r="E878" s="47" t="s">
        <v>13</v>
      </c>
      <c r="F878" s="47">
        <v>20</v>
      </c>
      <c r="G878" s="47">
        <v>0</v>
      </c>
      <c r="H878" s="47">
        <v>0</v>
      </c>
      <c r="I878" s="47">
        <v>7534</v>
      </c>
      <c r="J878" s="47">
        <v>9.8458</v>
      </c>
      <c r="L878" s="47" t="s">
        <v>15</v>
      </c>
    </row>
    <row r="879" spans="1:12">
      <c r="A879" s="47">
        <v>878</v>
      </c>
      <c r="B879" s="47">
        <v>0</v>
      </c>
      <c r="C879" s="47">
        <v>3</v>
      </c>
      <c r="D879" s="47" t="s">
        <v>1203</v>
      </c>
      <c r="E879" s="47" t="s">
        <v>13</v>
      </c>
      <c r="F879" s="47">
        <v>19</v>
      </c>
      <c r="G879" s="47">
        <v>0</v>
      </c>
      <c r="H879" s="47">
        <v>0</v>
      </c>
      <c r="I879" s="47">
        <v>349212</v>
      </c>
      <c r="J879" s="47">
        <v>7.8958</v>
      </c>
      <c r="L879" s="47" t="s">
        <v>15</v>
      </c>
    </row>
    <row r="880" spans="1:12">
      <c r="A880" s="47">
        <v>879</v>
      </c>
      <c r="B880" s="47">
        <v>0</v>
      </c>
      <c r="C880" s="47">
        <v>3</v>
      </c>
      <c r="D880" s="47" t="s">
        <v>1204</v>
      </c>
      <c r="E880" s="47" t="s">
        <v>13</v>
      </c>
      <c r="G880" s="47">
        <v>0</v>
      </c>
      <c r="H880" s="47">
        <v>0</v>
      </c>
      <c r="I880" s="47">
        <v>349217</v>
      </c>
      <c r="J880" s="47">
        <v>7.8958</v>
      </c>
      <c r="L880" s="47" t="s">
        <v>15</v>
      </c>
    </row>
    <row r="881" spans="1:12">
      <c r="A881" s="47">
        <v>880</v>
      </c>
      <c r="B881" s="47">
        <v>1</v>
      </c>
      <c r="C881" s="47">
        <v>1</v>
      </c>
      <c r="D881" s="47" t="s">
        <v>1205</v>
      </c>
      <c r="E881" s="47" t="s">
        <v>17</v>
      </c>
      <c r="F881" s="47">
        <v>56</v>
      </c>
      <c r="G881" s="47">
        <v>0</v>
      </c>
      <c r="H881" s="47">
        <v>1</v>
      </c>
      <c r="I881" s="47">
        <v>11767</v>
      </c>
      <c r="J881" s="47">
        <v>83.1583</v>
      </c>
      <c r="K881" s="47" t="s">
        <v>1206</v>
      </c>
      <c r="L881" s="47" t="s">
        <v>20</v>
      </c>
    </row>
    <row r="882" spans="1:12">
      <c r="A882" s="47">
        <v>881</v>
      </c>
      <c r="B882" s="47">
        <v>1</v>
      </c>
      <c r="C882" s="47">
        <v>2</v>
      </c>
      <c r="D882" s="47" t="s">
        <v>1207</v>
      </c>
      <c r="E882" s="47" t="s">
        <v>17</v>
      </c>
      <c r="F882" s="47">
        <v>25</v>
      </c>
      <c r="G882" s="47">
        <v>0</v>
      </c>
      <c r="H882" s="47">
        <v>1</v>
      </c>
      <c r="I882" s="47">
        <v>230433</v>
      </c>
      <c r="J882" s="47">
        <v>26</v>
      </c>
      <c r="L882" s="47" t="s">
        <v>15</v>
      </c>
    </row>
    <row r="883" spans="1:12">
      <c r="A883" s="47">
        <v>882</v>
      </c>
      <c r="B883" s="47">
        <v>0</v>
      </c>
      <c r="C883" s="47">
        <v>3</v>
      </c>
      <c r="D883" s="47" t="s">
        <v>1208</v>
      </c>
      <c r="E883" s="47" t="s">
        <v>13</v>
      </c>
      <c r="F883" s="47">
        <v>33</v>
      </c>
      <c r="G883" s="47">
        <v>0</v>
      </c>
      <c r="H883" s="47">
        <v>0</v>
      </c>
      <c r="I883" s="47">
        <v>349257</v>
      </c>
      <c r="J883" s="47">
        <v>7.8958</v>
      </c>
      <c r="L883" s="47" t="s">
        <v>15</v>
      </c>
    </row>
    <row r="884" spans="1:12">
      <c r="A884" s="47">
        <v>883</v>
      </c>
      <c r="B884" s="47">
        <v>0</v>
      </c>
      <c r="C884" s="47">
        <v>3</v>
      </c>
      <c r="D884" s="47" t="s">
        <v>1209</v>
      </c>
      <c r="E884" s="47" t="s">
        <v>17</v>
      </c>
      <c r="F884" s="47">
        <v>22</v>
      </c>
      <c r="G884" s="47">
        <v>0</v>
      </c>
      <c r="H884" s="47">
        <v>0</v>
      </c>
      <c r="I884" s="47">
        <v>7552</v>
      </c>
      <c r="J884" s="47">
        <v>10.5167</v>
      </c>
      <c r="L884" s="47" t="s">
        <v>15</v>
      </c>
    </row>
    <row r="885" spans="1:12">
      <c r="A885" s="47">
        <v>884</v>
      </c>
      <c r="B885" s="47">
        <v>0</v>
      </c>
      <c r="C885" s="47">
        <v>2</v>
      </c>
      <c r="D885" s="47" t="s">
        <v>1210</v>
      </c>
      <c r="E885" s="47" t="s">
        <v>13</v>
      </c>
      <c r="F885" s="47">
        <v>28</v>
      </c>
      <c r="G885" s="47">
        <v>0</v>
      </c>
      <c r="H885" s="47">
        <v>0</v>
      </c>
      <c r="I885" s="47" t="s">
        <v>1211</v>
      </c>
      <c r="J885" s="47">
        <v>10.5</v>
      </c>
      <c r="L885" s="47" t="s">
        <v>15</v>
      </c>
    </row>
    <row r="886" spans="1:12">
      <c r="A886" s="47">
        <v>885</v>
      </c>
      <c r="B886" s="47">
        <v>0</v>
      </c>
      <c r="C886" s="47">
        <v>3</v>
      </c>
      <c r="D886" s="47" t="s">
        <v>1212</v>
      </c>
      <c r="E886" s="47" t="s">
        <v>13</v>
      </c>
      <c r="F886" s="47">
        <v>25</v>
      </c>
      <c r="G886" s="47">
        <v>0</v>
      </c>
      <c r="H886" s="47">
        <v>0</v>
      </c>
      <c r="I886" s="47" t="s">
        <v>1213</v>
      </c>
      <c r="J886" s="47">
        <v>7.05</v>
      </c>
      <c r="L886" s="47" t="s">
        <v>15</v>
      </c>
    </row>
    <row r="887" spans="1:12">
      <c r="A887" s="47">
        <v>886</v>
      </c>
      <c r="B887" s="47">
        <v>0</v>
      </c>
      <c r="C887" s="47">
        <v>3</v>
      </c>
      <c r="D887" s="47" t="s">
        <v>1214</v>
      </c>
      <c r="E887" s="47" t="s">
        <v>17</v>
      </c>
      <c r="F887" s="47">
        <v>39</v>
      </c>
      <c r="G887" s="47">
        <v>0</v>
      </c>
      <c r="H887" s="47">
        <v>5</v>
      </c>
      <c r="I887" s="47">
        <v>382652</v>
      </c>
      <c r="J887" s="47">
        <v>29.125</v>
      </c>
      <c r="L887" s="47" t="s">
        <v>27</v>
      </c>
    </row>
    <row r="888" spans="1:12">
      <c r="A888" s="47">
        <v>887</v>
      </c>
      <c r="B888" s="47">
        <v>0</v>
      </c>
      <c r="C888" s="47">
        <v>2</v>
      </c>
      <c r="D888" s="47" t="s">
        <v>1215</v>
      </c>
      <c r="E888" s="47" t="s">
        <v>13</v>
      </c>
      <c r="F888" s="47">
        <v>27</v>
      </c>
      <c r="G888" s="47">
        <v>0</v>
      </c>
      <c r="H888" s="47">
        <v>0</v>
      </c>
      <c r="I888" s="47">
        <v>211536</v>
      </c>
      <c r="J888" s="47">
        <v>13</v>
      </c>
      <c r="L888" s="47" t="s">
        <v>15</v>
      </c>
    </row>
    <row r="889" spans="1:12">
      <c r="A889" s="47">
        <v>888</v>
      </c>
      <c r="B889" s="47">
        <v>1</v>
      </c>
      <c r="C889" s="47">
        <v>1</v>
      </c>
      <c r="D889" s="47" t="s">
        <v>1216</v>
      </c>
      <c r="E889" s="47" t="s">
        <v>17</v>
      </c>
      <c r="F889" s="47">
        <v>19</v>
      </c>
      <c r="G889" s="47">
        <v>0</v>
      </c>
      <c r="H889" s="47">
        <v>0</v>
      </c>
      <c r="I889" s="47">
        <v>112053</v>
      </c>
      <c r="J889" s="47">
        <v>30</v>
      </c>
      <c r="K889" s="47" t="s">
        <v>1217</v>
      </c>
      <c r="L889" s="47" t="s">
        <v>15</v>
      </c>
    </row>
    <row r="890" spans="1:12">
      <c r="A890" s="47">
        <v>889</v>
      </c>
      <c r="B890" s="47">
        <v>0</v>
      </c>
      <c r="C890" s="47">
        <v>3</v>
      </c>
      <c r="D890" s="47" t="s">
        <v>1218</v>
      </c>
      <c r="E890" s="47" t="s">
        <v>17</v>
      </c>
      <c r="G890" s="47">
        <v>1</v>
      </c>
      <c r="H890" s="47">
        <v>2</v>
      </c>
      <c r="I890" s="47" t="s">
        <v>1088</v>
      </c>
      <c r="J890" s="47">
        <v>23.45</v>
      </c>
      <c r="L890" s="47" t="s">
        <v>15</v>
      </c>
    </row>
    <row r="891" spans="1:12">
      <c r="A891" s="47">
        <v>890</v>
      </c>
      <c r="B891" s="47">
        <v>1</v>
      </c>
      <c r="C891" s="47">
        <v>1</v>
      </c>
      <c r="D891" s="47" t="s">
        <v>1219</v>
      </c>
      <c r="E891" s="47" t="s">
        <v>13</v>
      </c>
      <c r="F891" s="47">
        <v>26</v>
      </c>
      <c r="G891" s="47">
        <v>0</v>
      </c>
      <c r="H891" s="47">
        <v>0</v>
      </c>
      <c r="I891" s="47">
        <v>111369</v>
      </c>
      <c r="J891" s="47">
        <v>30</v>
      </c>
      <c r="K891" s="47" t="s">
        <v>1220</v>
      </c>
      <c r="L891" s="47" t="s">
        <v>20</v>
      </c>
    </row>
    <row r="892" spans="1:12">
      <c r="A892" s="47">
        <v>891</v>
      </c>
      <c r="B892" s="47">
        <v>0</v>
      </c>
      <c r="C892" s="47">
        <v>3</v>
      </c>
      <c r="D892" s="47" t="s">
        <v>1221</v>
      </c>
      <c r="E892" s="47" t="s">
        <v>13</v>
      </c>
      <c r="F892" s="47">
        <v>32</v>
      </c>
      <c r="G892" s="47">
        <v>0</v>
      </c>
      <c r="H892" s="47">
        <v>0</v>
      </c>
      <c r="I892" s="47">
        <v>370376</v>
      </c>
      <c r="J892" s="47">
        <v>7.75</v>
      </c>
      <c r="L892" s="47" t="s">
        <v>27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892"/>
  <sheetViews>
    <sheetView topLeftCell="B1" workbookViewId="0">
      <pane ySplit="1" topLeftCell="A2" activePane="bottomLeft" state="frozen"/>
      <selection/>
      <selection pane="bottomLeft" activeCell="N23" sqref="N23"/>
    </sheetView>
  </sheetViews>
  <sheetFormatPr defaultColWidth="12.6285714285714" defaultRowHeight="15.75" customHeight="1"/>
  <cols>
    <col min="1" max="3" width="12.6285714285714" style="16"/>
    <col min="4" max="4" width="79" style="35" customWidth="1"/>
    <col min="5" max="5" width="12.6285714285714" style="35"/>
    <col min="6" max="8" width="12.6285714285714" style="16"/>
    <col min="9" max="9" width="12.6285714285714" style="35"/>
    <col min="10" max="10" width="12.6285714285714" style="36"/>
    <col min="11" max="11" width="12.6285714285714" style="37"/>
    <col min="12" max="12" width="12.6285714285714" style="16"/>
    <col min="13" max="13" width="12.8571428571429" style="38"/>
    <col min="14" max="16384" width="12.6285714285714" style="16"/>
  </cols>
  <sheetData>
    <row r="1" customHeight="1" spans="1:26">
      <c r="A1" s="39" t="s">
        <v>0</v>
      </c>
      <c r="B1" s="39" t="s">
        <v>1</v>
      </c>
      <c r="C1" s="39" t="s">
        <v>2</v>
      </c>
      <c r="D1" s="40" t="s">
        <v>3</v>
      </c>
      <c r="E1" s="40" t="s">
        <v>4</v>
      </c>
      <c r="F1" s="39" t="s">
        <v>5</v>
      </c>
      <c r="G1" s="39" t="s">
        <v>6</v>
      </c>
      <c r="H1" s="39" t="s">
        <v>7</v>
      </c>
      <c r="I1" s="40" t="s">
        <v>8</v>
      </c>
      <c r="J1" s="41" t="s">
        <v>9</v>
      </c>
      <c r="K1" s="42" t="s">
        <v>10</v>
      </c>
      <c r="L1" s="39" t="s">
        <v>11</v>
      </c>
      <c r="M1" s="43" t="s">
        <v>1222</v>
      </c>
    </row>
    <row r="2" customHeight="1" spans="1:26">
      <c r="A2" s="39">
        <v>1</v>
      </c>
      <c r="B2" s="39">
        <v>0</v>
      </c>
      <c r="C2" s="39">
        <v>3</v>
      </c>
      <c r="D2" s="40" t="s">
        <v>12</v>
      </c>
      <c r="E2" s="40" t="s">
        <v>13</v>
      </c>
      <c r="F2" s="39">
        <v>22</v>
      </c>
      <c r="G2" s="39">
        <v>1</v>
      </c>
      <c r="H2" s="39">
        <v>0</v>
      </c>
      <c r="I2" s="40" t="s">
        <v>14</v>
      </c>
      <c r="J2" s="41">
        <v>7.25</v>
      </c>
      <c r="L2" s="39" t="s">
        <v>15</v>
      </c>
      <c r="M2" s="38">
        <f t="shared" ref="M2:M65" si="0">IF(F2="",AVERAGE($F$2:$F$892),F2)</f>
        <v>22</v>
      </c>
    </row>
    <row r="3" customHeight="1" spans="1:26">
      <c r="A3" s="39">
        <v>2</v>
      </c>
      <c r="B3" s="39">
        <v>1</v>
      </c>
      <c r="C3" s="39">
        <v>1</v>
      </c>
      <c r="D3" s="40" t="s">
        <v>16</v>
      </c>
      <c r="E3" s="40" t="s">
        <v>17</v>
      </c>
      <c r="F3" s="39">
        <v>38</v>
      </c>
      <c r="G3" s="39">
        <v>1</v>
      </c>
      <c r="H3" s="39">
        <v>0</v>
      </c>
      <c r="I3" s="40" t="s">
        <v>18</v>
      </c>
      <c r="J3" s="41">
        <v>71.2833</v>
      </c>
      <c r="K3" s="42" t="s">
        <v>19</v>
      </c>
      <c r="L3" s="39" t="s">
        <v>20</v>
      </c>
      <c r="M3" s="38">
        <f t="shared" si="0"/>
        <v>38</v>
      </c>
    </row>
    <row r="4" customHeight="1" spans="1:26">
      <c r="A4" s="39">
        <v>3</v>
      </c>
      <c r="B4" s="39">
        <v>1</v>
      </c>
      <c r="C4" s="39">
        <v>3</v>
      </c>
      <c r="D4" s="40" t="s">
        <v>21</v>
      </c>
      <c r="E4" s="40" t="s">
        <v>17</v>
      </c>
      <c r="F4" s="39">
        <v>26</v>
      </c>
      <c r="G4" s="39">
        <v>0</v>
      </c>
      <c r="H4" s="39">
        <v>0</v>
      </c>
      <c r="I4" s="40" t="s">
        <v>22</v>
      </c>
      <c r="J4" s="41">
        <v>7.925</v>
      </c>
      <c r="L4" s="39" t="s">
        <v>15</v>
      </c>
      <c r="M4" s="38">
        <f t="shared" si="0"/>
        <v>26</v>
      </c>
    </row>
    <row r="5" customHeight="1" spans="1:26">
      <c r="A5" s="39">
        <v>4</v>
      </c>
      <c r="B5" s="39">
        <v>1</v>
      </c>
      <c r="C5" s="39">
        <v>1</v>
      </c>
      <c r="D5" s="40" t="s">
        <v>23</v>
      </c>
      <c r="E5" s="40" t="s">
        <v>17</v>
      </c>
      <c r="F5" s="39">
        <v>35</v>
      </c>
      <c r="G5" s="39">
        <v>1</v>
      </c>
      <c r="H5" s="39">
        <v>0</v>
      </c>
      <c r="I5" s="40">
        <v>113803</v>
      </c>
      <c r="J5" s="41">
        <v>53.1</v>
      </c>
      <c r="K5" s="42" t="s">
        <v>24</v>
      </c>
      <c r="L5" s="39" t="s">
        <v>15</v>
      </c>
      <c r="M5" s="38">
        <f t="shared" si="0"/>
        <v>35</v>
      </c>
    </row>
    <row r="6" customHeight="1" spans="1:26">
      <c r="A6" s="39">
        <v>5</v>
      </c>
      <c r="B6" s="39">
        <v>0</v>
      </c>
      <c r="C6" s="39">
        <v>3</v>
      </c>
      <c r="D6" s="40" t="s">
        <v>25</v>
      </c>
      <c r="E6" s="40" t="s">
        <v>13</v>
      </c>
      <c r="F6" s="39">
        <v>35</v>
      </c>
      <c r="G6" s="39">
        <v>0</v>
      </c>
      <c r="H6" s="39">
        <v>0</v>
      </c>
      <c r="I6" s="40">
        <v>373450</v>
      </c>
      <c r="J6" s="41">
        <v>8.05</v>
      </c>
      <c r="L6" s="39" t="s">
        <v>15</v>
      </c>
      <c r="M6" s="38">
        <f t="shared" si="0"/>
        <v>35</v>
      </c>
      <c r="Z6" s="39" t="s">
        <v>1223</v>
      </c>
    </row>
    <row r="7" customHeight="1" spans="1:26">
      <c r="A7" s="39">
        <v>6</v>
      </c>
      <c r="B7" s="39">
        <v>0</v>
      </c>
      <c r="C7" s="39">
        <v>3</v>
      </c>
      <c r="D7" s="40" t="s">
        <v>26</v>
      </c>
      <c r="E7" s="40" t="s">
        <v>13</v>
      </c>
      <c r="G7" s="39">
        <v>0</v>
      </c>
      <c r="H7" s="39">
        <v>0</v>
      </c>
      <c r="I7" s="40">
        <v>330877</v>
      </c>
      <c r="J7" s="41">
        <v>8.4583</v>
      </c>
      <c r="L7" s="39" t="s">
        <v>27</v>
      </c>
      <c r="M7" s="38">
        <f t="shared" si="0"/>
        <v>29.6991176470588</v>
      </c>
    </row>
    <row r="8" customHeight="1" spans="1:26">
      <c r="A8" s="39">
        <v>7</v>
      </c>
      <c r="B8" s="39">
        <v>0</v>
      </c>
      <c r="C8" s="39">
        <v>1</v>
      </c>
      <c r="D8" s="40" t="s">
        <v>28</v>
      </c>
      <c r="E8" s="40" t="s">
        <v>13</v>
      </c>
      <c r="F8" s="39">
        <v>54</v>
      </c>
      <c r="G8" s="39">
        <v>0</v>
      </c>
      <c r="H8" s="39">
        <v>0</v>
      </c>
      <c r="I8" s="40">
        <v>17463</v>
      </c>
      <c r="J8" s="41">
        <v>51.8625</v>
      </c>
      <c r="K8" s="42" t="s">
        <v>29</v>
      </c>
      <c r="L8" s="39" t="s">
        <v>15</v>
      </c>
      <c r="M8" s="38">
        <f t="shared" si="0"/>
        <v>54</v>
      </c>
    </row>
    <row r="9" customHeight="1" spans="1:26">
      <c r="A9" s="39">
        <v>8</v>
      </c>
      <c r="B9" s="39">
        <v>0</v>
      </c>
      <c r="C9" s="39">
        <v>3</v>
      </c>
      <c r="D9" s="40" t="s">
        <v>30</v>
      </c>
      <c r="E9" s="40" t="s">
        <v>13</v>
      </c>
      <c r="F9" s="39">
        <v>2</v>
      </c>
      <c r="G9" s="39">
        <v>3</v>
      </c>
      <c r="H9" s="39">
        <v>1</v>
      </c>
      <c r="I9" s="40">
        <v>349909</v>
      </c>
      <c r="J9" s="41">
        <v>21.075</v>
      </c>
      <c r="L9" s="39" t="s">
        <v>15</v>
      </c>
      <c r="M9" s="38">
        <f t="shared" si="0"/>
        <v>2</v>
      </c>
    </row>
    <row r="10" customHeight="1" spans="1:26">
      <c r="A10" s="39">
        <v>9</v>
      </c>
      <c r="B10" s="39">
        <v>1</v>
      </c>
      <c r="C10" s="39">
        <v>3</v>
      </c>
      <c r="D10" s="40" t="s">
        <v>31</v>
      </c>
      <c r="E10" s="40" t="s">
        <v>17</v>
      </c>
      <c r="F10" s="39">
        <v>27</v>
      </c>
      <c r="G10" s="39">
        <v>0</v>
      </c>
      <c r="H10" s="39">
        <v>2</v>
      </c>
      <c r="I10" s="40">
        <v>347742</v>
      </c>
      <c r="J10" s="41">
        <v>11.1333</v>
      </c>
      <c r="L10" s="39" t="s">
        <v>15</v>
      </c>
      <c r="M10" s="38">
        <f t="shared" si="0"/>
        <v>27</v>
      </c>
    </row>
    <row r="11" customHeight="1" spans="1:26">
      <c r="A11" s="39">
        <v>10</v>
      </c>
      <c r="B11" s="39">
        <v>1</v>
      </c>
      <c r="C11" s="39">
        <v>2</v>
      </c>
      <c r="D11" s="40" t="s">
        <v>32</v>
      </c>
      <c r="E11" s="40" t="s">
        <v>17</v>
      </c>
      <c r="F11" s="39">
        <v>14</v>
      </c>
      <c r="G11" s="39">
        <v>1</v>
      </c>
      <c r="H11" s="39">
        <v>0</v>
      </c>
      <c r="I11" s="40">
        <v>237736</v>
      </c>
      <c r="J11" s="41">
        <v>30.0708</v>
      </c>
      <c r="L11" s="39" t="s">
        <v>20</v>
      </c>
      <c r="M11" s="38">
        <f t="shared" si="0"/>
        <v>14</v>
      </c>
    </row>
    <row r="12" customHeight="1" spans="1:26">
      <c r="A12" s="39">
        <v>11</v>
      </c>
      <c r="B12" s="39">
        <v>1</v>
      </c>
      <c r="C12" s="39">
        <v>3</v>
      </c>
      <c r="D12" s="40" t="s">
        <v>33</v>
      </c>
      <c r="E12" s="40" t="s">
        <v>17</v>
      </c>
      <c r="F12" s="39">
        <v>4</v>
      </c>
      <c r="G12" s="39">
        <v>1</v>
      </c>
      <c r="H12" s="39">
        <v>1</v>
      </c>
      <c r="I12" s="40" t="s">
        <v>34</v>
      </c>
      <c r="J12" s="41">
        <v>16.7</v>
      </c>
      <c r="K12" s="42" t="s">
        <v>35</v>
      </c>
      <c r="L12" s="39" t="s">
        <v>15</v>
      </c>
      <c r="M12" s="38">
        <f t="shared" si="0"/>
        <v>4</v>
      </c>
    </row>
    <row r="13" customHeight="1" spans="1:26">
      <c r="A13" s="39">
        <v>12</v>
      </c>
      <c r="B13" s="39">
        <v>1</v>
      </c>
      <c r="C13" s="39">
        <v>1</v>
      </c>
      <c r="D13" s="40" t="s">
        <v>36</v>
      </c>
      <c r="E13" s="40" t="s">
        <v>17</v>
      </c>
      <c r="F13" s="39">
        <v>58</v>
      </c>
      <c r="G13" s="39">
        <v>0</v>
      </c>
      <c r="H13" s="39">
        <v>0</v>
      </c>
      <c r="I13" s="40">
        <v>113783</v>
      </c>
      <c r="J13" s="41">
        <v>26.55</v>
      </c>
      <c r="K13" s="42" t="s">
        <v>37</v>
      </c>
      <c r="L13" s="39" t="s">
        <v>15</v>
      </c>
      <c r="M13" s="38">
        <f t="shared" si="0"/>
        <v>58</v>
      </c>
    </row>
    <row r="14" customHeight="1" spans="1:26">
      <c r="A14" s="39">
        <v>13</v>
      </c>
      <c r="B14" s="39">
        <v>0</v>
      </c>
      <c r="C14" s="39">
        <v>3</v>
      </c>
      <c r="D14" s="40" t="s">
        <v>38</v>
      </c>
      <c r="E14" s="40" t="s">
        <v>13</v>
      </c>
      <c r="F14" s="39">
        <v>20</v>
      </c>
      <c r="G14" s="39">
        <v>0</v>
      </c>
      <c r="H14" s="39">
        <v>0</v>
      </c>
      <c r="I14" s="40" t="s">
        <v>39</v>
      </c>
      <c r="J14" s="41">
        <v>8.05</v>
      </c>
      <c r="L14" s="39" t="s">
        <v>15</v>
      </c>
      <c r="M14" s="38">
        <f t="shared" si="0"/>
        <v>20</v>
      </c>
      <c r="O14" s="44"/>
    </row>
    <row r="15" customHeight="1" spans="1:26">
      <c r="A15" s="39">
        <v>14</v>
      </c>
      <c r="B15" s="39">
        <v>0</v>
      </c>
      <c r="C15" s="39">
        <v>3</v>
      </c>
      <c r="D15" s="40" t="s">
        <v>40</v>
      </c>
      <c r="E15" s="40" t="s">
        <v>13</v>
      </c>
      <c r="F15" s="39">
        <v>39</v>
      </c>
      <c r="G15" s="39">
        <v>1</v>
      </c>
      <c r="H15" s="39">
        <v>5</v>
      </c>
      <c r="I15" s="40">
        <v>347082</v>
      </c>
      <c r="J15" s="41">
        <v>31.275</v>
      </c>
      <c r="L15" s="39" t="s">
        <v>15</v>
      </c>
      <c r="M15" s="38">
        <f t="shared" si="0"/>
        <v>39</v>
      </c>
      <c r="O15" s="45"/>
    </row>
    <row r="16" customHeight="1" spans="1:26">
      <c r="A16" s="39">
        <v>15</v>
      </c>
      <c r="B16" s="39">
        <v>0</v>
      </c>
      <c r="C16" s="39">
        <v>3</v>
      </c>
      <c r="D16" s="40" t="s">
        <v>41</v>
      </c>
      <c r="E16" s="40" t="s">
        <v>17</v>
      </c>
      <c r="F16" s="39">
        <v>14</v>
      </c>
      <c r="G16" s="39">
        <v>0</v>
      </c>
      <c r="H16" s="39">
        <v>0</v>
      </c>
      <c r="I16" s="40">
        <v>350406</v>
      </c>
      <c r="J16" s="41">
        <v>7.8542</v>
      </c>
      <c r="L16" s="39" t="s">
        <v>15</v>
      </c>
      <c r="M16" s="38">
        <f t="shared" si="0"/>
        <v>14</v>
      </c>
    </row>
    <row r="17" customHeight="1" spans="1:13">
      <c r="A17" s="39">
        <v>16</v>
      </c>
      <c r="B17" s="39">
        <v>1</v>
      </c>
      <c r="C17" s="39">
        <v>2</v>
      </c>
      <c r="D17" s="40" t="s">
        <v>42</v>
      </c>
      <c r="E17" s="40" t="s">
        <v>17</v>
      </c>
      <c r="F17" s="39">
        <v>55</v>
      </c>
      <c r="G17" s="39">
        <v>0</v>
      </c>
      <c r="H17" s="39">
        <v>0</v>
      </c>
      <c r="I17" s="40">
        <v>248706</v>
      </c>
      <c r="J17" s="41">
        <v>16</v>
      </c>
      <c r="L17" s="39" t="s">
        <v>15</v>
      </c>
      <c r="M17" s="38">
        <f t="shared" si="0"/>
        <v>55</v>
      </c>
    </row>
    <row r="18" customHeight="1" spans="1:13">
      <c r="A18" s="39">
        <v>17</v>
      </c>
      <c r="B18" s="39">
        <v>0</v>
      </c>
      <c r="C18" s="39">
        <v>3</v>
      </c>
      <c r="D18" s="40" t="s">
        <v>43</v>
      </c>
      <c r="E18" s="40" t="s">
        <v>13</v>
      </c>
      <c r="F18" s="39">
        <v>2</v>
      </c>
      <c r="G18" s="39">
        <v>4</v>
      </c>
      <c r="H18" s="39">
        <v>1</v>
      </c>
      <c r="I18" s="40">
        <v>382652</v>
      </c>
      <c r="J18" s="41">
        <v>29.125</v>
      </c>
      <c r="L18" s="39" t="s">
        <v>27</v>
      </c>
      <c r="M18" s="38">
        <f t="shared" si="0"/>
        <v>2</v>
      </c>
    </row>
    <row r="19" customHeight="1" spans="1:13">
      <c r="A19" s="39">
        <v>18</v>
      </c>
      <c r="B19" s="39">
        <v>1</v>
      </c>
      <c r="C19" s="39">
        <v>2</v>
      </c>
      <c r="D19" s="40" t="s">
        <v>44</v>
      </c>
      <c r="E19" s="40" t="s">
        <v>13</v>
      </c>
      <c r="G19" s="39">
        <v>0</v>
      </c>
      <c r="H19" s="39">
        <v>0</v>
      </c>
      <c r="I19" s="40">
        <v>244373</v>
      </c>
      <c r="J19" s="41">
        <v>13</v>
      </c>
      <c r="L19" s="39" t="s">
        <v>15</v>
      </c>
      <c r="M19" s="38">
        <f t="shared" si="0"/>
        <v>29.6991176470588</v>
      </c>
    </row>
    <row r="20" customHeight="1" spans="1:13">
      <c r="A20" s="39">
        <v>19</v>
      </c>
      <c r="B20" s="39">
        <v>0</v>
      </c>
      <c r="C20" s="39">
        <v>3</v>
      </c>
      <c r="D20" s="40" t="s">
        <v>45</v>
      </c>
      <c r="E20" s="40" t="s">
        <v>17</v>
      </c>
      <c r="F20" s="39">
        <v>31</v>
      </c>
      <c r="G20" s="39">
        <v>1</v>
      </c>
      <c r="H20" s="39">
        <v>0</v>
      </c>
      <c r="I20" s="40">
        <v>345763</v>
      </c>
      <c r="J20" s="41">
        <v>18</v>
      </c>
      <c r="L20" s="39" t="s">
        <v>15</v>
      </c>
      <c r="M20" s="38">
        <f t="shared" si="0"/>
        <v>31</v>
      </c>
    </row>
    <row r="21" customHeight="1" spans="1:13">
      <c r="A21" s="39">
        <v>20</v>
      </c>
      <c r="B21" s="39">
        <v>1</v>
      </c>
      <c r="C21" s="39">
        <v>3</v>
      </c>
      <c r="D21" s="40" t="s">
        <v>46</v>
      </c>
      <c r="E21" s="40" t="s">
        <v>17</v>
      </c>
      <c r="G21" s="39">
        <v>0</v>
      </c>
      <c r="H21" s="39">
        <v>0</v>
      </c>
      <c r="I21" s="40">
        <v>2649</v>
      </c>
      <c r="J21" s="41">
        <v>7.225</v>
      </c>
      <c r="L21" s="39" t="s">
        <v>20</v>
      </c>
      <c r="M21" s="38">
        <f t="shared" si="0"/>
        <v>29.6991176470588</v>
      </c>
    </row>
    <row r="22" customHeight="1" spans="1:13">
      <c r="A22" s="39">
        <v>21</v>
      </c>
      <c r="B22" s="39">
        <v>0</v>
      </c>
      <c r="C22" s="39">
        <v>2</v>
      </c>
      <c r="D22" s="40" t="s">
        <v>47</v>
      </c>
      <c r="E22" s="40" t="s">
        <v>13</v>
      </c>
      <c r="F22" s="39">
        <v>35</v>
      </c>
      <c r="G22" s="39">
        <v>0</v>
      </c>
      <c r="H22" s="39">
        <v>0</v>
      </c>
      <c r="I22" s="40">
        <v>239865</v>
      </c>
      <c r="J22" s="41">
        <v>26</v>
      </c>
      <c r="L22" s="39" t="s">
        <v>15</v>
      </c>
      <c r="M22" s="38">
        <f t="shared" si="0"/>
        <v>35</v>
      </c>
    </row>
    <row r="23" customHeight="1" spans="1:13">
      <c r="A23" s="39">
        <v>22</v>
      </c>
      <c r="B23" s="39">
        <v>1</v>
      </c>
      <c r="C23" s="39">
        <v>2</v>
      </c>
      <c r="D23" s="40" t="s">
        <v>48</v>
      </c>
      <c r="E23" s="40" t="s">
        <v>13</v>
      </c>
      <c r="F23" s="39">
        <v>34</v>
      </c>
      <c r="G23" s="39">
        <v>0</v>
      </c>
      <c r="H23" s="39">
        <v>0</v>
      </c>
      <c r="I23" s="40">
        <v>248698</v>
      </c>
      <c r="J23" s="41">
        <v>13</v>
      </c>
      <c r="K23" s="42" t="s">
        <v>49</v>
      </c>
      <c r="L23" s="39" t="s">
        <v>15</v>
      </c>
      <c r="M23" s="38">
        <f t="shared" si="0"/>
        <v>34</v>
      </c>
    </row>
    <row r="24" customHeight="1" spans="1:13">
      <c r="A24" s="39">
        <v>23</v>
      </c>
      <c r="B24" s="39">
        <v>1</v>
      </c>
      <c r="C24" s="39">
        <v>3</v>
      </c>
      <c r="D24" s="40" t="s">
        <v>50</v>
      </c>
      <c r="E24" s="40" t="s">
        <v>17</v>
      </c>
      <c r="F24" s="39">
        <v>15</v>
      </c>
      <c r="G24" s="39">
        <v>0</v>
      </c>
      <c r="H24" s="39">
        <v>0</v>
      </c>
      <c r="I24" s="40">
        <v>330923</v>
      </c>
      <c r="J24" s="41">
        <v>8.0292</v>
      </c>
      <c r="L24" s="39" t="s">
        <v>27</v>
      </c>
      <c r="M24" s="38">
        <f t="shared" si="0"/>
        <v>15</v>
      </c>
    </row>
    <row r="25" customHeight="1" spans="1:13">
      <c r="A25" s="39">
        <v>24</v>
      </c>
      <c r="B25" s="39">
        <v>1</v>
      </c>
      <c r="C25" s="39">
        <v>1</v>
      </c>
      <c r="D25" s="40" t="s">
        <v>51</v>
      </c>
      <c r="E25" s="40" t="s">
        <v>13</v>
      </c>
      <c r="F25" s="39">
        <v>28</v>
      </c>
      <c r="G25" s="39">
        <v>0</v>
      </c>
      <c r="H25" s="39">
        <v>0</v>
      </c>
      <c r="I25" s="40">
        <v>113788</v>
      </c>
      <c r="J25" s="41">
        <v>35.5</v>
      </c>
      <c r="K25" s="42" t="s">
        <v>52</v>
      </c>
      <c r="L25" s="39" t="s">
        <v>15</v>
      </c>
      <c r="M25" s="38">
        <f t="shared" si="0"/>
        <v>28</v>
      </c>
    </row>
    <row r="26" customHeight="1" spans="1:13">
      <c r="A26" s="39">
        <v>25</v>
      </c>
      <c r="B26" s="39">
        <v>0</v>
      </c>
      <c r="C26" s="39">
        <v>3</v>
      </c>
      <c r="D26" s="40" t="s">
        <v>53</v>
      </c>
      <c r="E26" s="40" t="s">
        <v>17</v>
      </c>
      <c r="F26" s="39">
        <v>8</v>
      </c>
      <c r="G26" s="39">
        <v>3</v>
      </c>
      <c r="H26" s="39">
        <v>1</v>
      </c>
      <c r="I26" s="40">
        <v>349909</v>
      </c>
      <c r="J26" s="41">
        <v>21.075</v>
      </c>
      <c r="L26" s="39" t="s">
        <v>15</v>
      </c>
      <c r="M26" s="38">
        <f t="shared" si="0"/>
        <v>8</v>
      </c>
    </row>
    <row r="27" customHeight="1" spans="1:13">
      <c r="A27" s="39">
        <v>26</v>
      </c>
      <c r="B27" s="39">
        <v>1</v>
      </c>
      <c r="C27" s="39">
        <v>3</v>
      </c>
      <c r="D27" s="40" t="s">
        <v>54</v>
      </c>
      <c r="E27" s="40" t="s">
        <v>17</v>
      </c>
      <c r="F27" s="39">
        <v>38</v>
      </c>
      <c r="G27" s="39">
        <v>1</v>
      </c>
      <c r="H27" s="39">
        <v>5</v>
      </c>
      <c r="I27" s="40">
        <v>347077</v>
      </c>
      <c r="J27" s="41">
        <v>31.3875</v>
      </c>
      <c r="L27" s="39" t="s">
        <v>15</v>
      </c>
      <c r="M27" s="38">
        <f t="shared" si="0"/>
        <v>38</v>
      </c>
    </row>
    <row r="28" customHeight="1" spans="1:13">
      <c r="A28" s="39">
        <v>27</v>
      </c>
      <c r="B28" s="39">
        <v>0</v>
      </c>
      <c r="C28" s="39">
        <v>3</v>
      </c>
      <c r="D28" s="40" t="s">
        <v>55</v>
      </c>
      <c r="E28" s="40" t="s">
        <v>13</v>
      </c>
      <c r="G28" s="39">
        <v>0</v>
      </c>
      <c r="H28" s="39">
        <v>0</v>
      </c>
      <c r="I28" s="40">
        <v>2631</v>
      </c>
      <c r="J28" s="41">
        <v>7.225</v>
      </c>
      <c r="L28" s="39" t="s">
        <v>20</v>
      </c>
      <c r="M28" s="38">
        <f t="shared" si="0"/>
        <v>29.6991176470588</v>
      </c>
    </row>
    <row r="29" customHeight="1" spans="1:13">
      <c r="A29" s="39">
        <v>28</v>
      </c>
      <c r="B29" s="39">
        <v>0</v>
      </c>
      <c r="C29" s="39">
        <v>1</v>
      </c>
      <c r="D29" s="40" t="s">
        <v>56</v>
      </c>
      <c r="E29" s="40" t="s">
        <v>13</v>
      </c>
      <c r="F29" s="39">
        <v>19</v>
      </c>
      <c r="G29" s="39">
        <v>3</v>
      </c>
      <c r="H29" s="39">
        <v>2</v>
      </c>
      <c r="I29" s="40">
        <v>19950</v>
      </c>
      <c r="J29" s="41">
        <v>263</v>
      </c>
      <c r="K29" s="42" t="s">
        <v>57</v>
      </c>
      <c r="L29" s="39" t="s">
        <v>15</v>
      </c>
      <c r="M29" s="38">
        <f t="shared" si="0"/>
        <v>19</v>
      </c>
    </row>
    <row r="30" customHeight="1" spans="1:13">
      <c r="A30" s="39">
        <v>29</v>
      </c>
      <c r="B30" s="39">
        <v>1</v>
      </c>
      <c r="C30" s="39">
        <v>3</v>
      </c>
      <c r="D30" s="40" t="s">
        <v>58</v>
      </c>
      <c r="E30" s="40" t="s">
        <v>17</v>
      </c>
      <c r="G30" s="39">
        <v>0</v>
      </c>
      <c r="H30" s="39">
        <v>0</v>
      </c>
      <c r="I30" s="40">
        <v>330959</v>
      </c>
      <c r="J30" s="41">
        <v>7.8792</v>
      </c>
      <c r="L30" s="39" t="s">
        <v>27</v>
      </c>
      <c r="M30" s="38">
        <f t="shared" si="0"/>
        <v>29.6991176470588</v>
      </c>
    </row>
    <row r="31" customHeight="1" spans="1:13">
      <c r="A31" s="39">
        <v>30</v>
      </c>
      <c r="B31" s="39">
        <v>0</v>
      </c>
      <c r="C31" s="39">
        <v>3</v>
      </c>
      <c r="D31" s="40" t="s">
        <v>59</v>
      </c>
      <c r="E31" s="40" t="s">
        <v>13</v>
      </c>
      <c r="G31" s="39">
        <v>0</v>
      </c>
      <c r="H31" s="39">
        <v>0</v>
      </c>
      <c r="I31" s="40">
        <v>349216</v>
      </c>
      <c r="J31" s="41">
        <v>7.8958</v>
      </c>
      <c r="L31" s="39" t="s">
        <v>15</v>
      </c>
      <c r="M31" s="38">
        <f t="shared" si="0"/>
        <v>29.6991176470588</v>
      </c>
    </row>
    <row r="32" customHeight="1" spans="1:13">
      <c r="A32" s="39">
        <v>31</v>
      </c>
      <c r="B32" s="39">
        <v>0</v>
      </c>
      <c r="C32" s="39">
        <v>1</v>
      </c>
      <c r="D32" s="40" t="s">
        <v>60</v>
      </c>
      <c r="E32" s="40" t="s">
        <v>13</v>
      </c>
      <c r="F32" s="39">
        <v>40</v>
      </c>
      <c r="G32" s="39">
        <v>0</v>
      </c>
      <c r="H32" s="39">
        <v>0</v>
      </c>
      <c r="I32" s="40" t="s">
        <v>61</v>
      </c>
      <c r="J32" s="41">
        <v>27.7208</v>
      </c>
      <c r="L32" s="39" t="s">
        <v>20</v>
      </c>
      <c r="M32" s="38">
        <f t="shared" si="0"/>
        <v>40</v>
      </c>
    </row>
    <row r="33" customHeight="1" spans="1:13">
      <c r="A33" s="39">
        <v>32</v>
      </c>
      <c r="B33" s="39">
        <v>1</v>
      </c>
      <c r="C33" s="39">
        <v>1</v>
      </c>
      <c r="D33" s="40" t="s">
        <v>62</v>
      </c>
      <c r="E33" s="40" t="s">
        <v>17</v>
      </c>
      <c r="G33" s="39">
        <v>1</v>
      </c>
      <c r="H33" s="39">
        <v>0</v>
      </c>
      <c r="I33" s="40" t="s">
        <v>63</v>
      </c>
      <c r="J33" s="41">
        <v>146.5208</v>
      </c>
      <c r="K33" s="42" t="s">
        <v>64</v>
      </c>
      <c r="L33" s="39" t="s">
        <v>20</v>
      </c>
      <c r="M33" s="38">
        <f t="shared" si="0"/>
        <v>29.6991176470588</v>
      </c>
    </row>
    <row r="34" customHeight="1" spans="1:13">
      <c r="A34" s="39">
        <v>33</v>
      </c>
      <c r="B34" s="39">
        <v>1</v>
      </c>
      <c r="C34" s="39">
        <v>3</v>
      </c>
      <c r="D34" s="40" t="s">
        <v>65</v>
      </c>
      <c r="E34" s="40" t="s">
        <v>17</v>
      </c>
      <c r="G34" s="39">
        <v>0</v>
      </c>
      <c r="H34" s="39">
        <v>0</v>
      </c>
      <c r="I34" s="40">
        <v>335677</v>
      </c>
      <c r="J34" s="41">
        <v>7.75</v>
      </c>
      <c r="L34" s="39" t="s">
        <v>27</v>
      </c>
      <c r="M34" s="38">
        <f t="shared" si="0"/>
        <v>29.6991176470588</v>
      </c>
    </row>
    <row r="35" customHeight="1" spans="1:13">
      <c r="A35" s="39">
        <v>34</v>
      </c>
      <c r="B35" s="39">
        <v>0</v>
      </c>
      <c r="C35" s="39">
        <v>2</v>
      </c>
      <c r="D35" s="40" t="s">
        <v>66</v>
      </c>
      <c r="E35" s="40" t="s">
        <v>13</v>
      </c>
      <c r="F35" s="39">
        <v>66</v>
      </c>
      <c r="G35" s="39">
        <v>0</v>
      </c>
      <c r="H35" s="39">
        <v>0</v>
      </c>
      <c r="I35" s="40" t="s">
        <v>67</v>
      </c>
      <c r="J35" s="41">
        <v>10.5</v>
      </c>
      <c r="L35" s="39" t="s">
        <v>15</v>
      </c>
      <c r="M35" s="38">
        <f t="shared" si="0"/>
        <v>66</v>
      </c>
    </row>
    <row r="36" customHeight="1" spans="1:13">
      <c r="A36" s="39">
        <v>35</v>
      </c>
      <c r="B36" s="39">
        <v>0</v>
      </c>
      <c r="C36" s="39">
        <v>1</v>
      </c>
      <c r="D36" s="40" t="s">
        <v>68</v>
      </c>
      <c r="E36" s="40" t="s">
        <v>13</v>
      </c>
      <c r="F36" s="39">
        <v>28</v>
      </c>
      <c r="G36" s="39">
        <v>1</v>
      </c>
      <c r="H36" s="39">
        <v>0</v>
      </c>
      <c r="I36" s="40" t="s">
        <v>69</v>
      </c>
      <c r="J36" s="41">
        <v>82.1708</v>
      </c>
      <c r="L36" s="39" t="s">
        <v>20</v>
      </c>
      <c r="M36" s="38">
        <f t="shared" si="0"/>
        <v>28</v>
      </c>
    </row>
    <row r="37" customHeight="1" spans="1:13">
      <c r="A37" s="39">
        <v>36</v>
      </c>
      <c r="B37" s="39">
        <v>0</v>
      </c>
      <c r="C37" s="39">
        <v>1</v>
      </c>
      <c r="D37" s="40" t="s">
        <v>70</v>
      </c>
      <c r="E37" s="40" t="s">
        <v>13</v>
      </c>
      <c r="F37" s="39">
        <v>42</v>
      </c>
      <c r="G37" s="39">
        <v>1</v>
      </c>
      <c r="H37" s="39">
        <v>0</v>
      </c>
      <c r="I37" s="40">
        <v>113789</v>
      </c>
      <c r="J37" s="41">
        <v>52</v>
      </c>
      <c r="L37" s="39" t="s">
        <v>15</v>
      </c>
      <c r="M37" s="38">
        <f t="shared" si="0"/>
        <v>42</v>
      </c>
    </row>
    <row r="38" customHeight="1" spans="1:13">
      <c r="A38" s="39">
        <v>37</v>
      </c>
      <c r="B38" s="39">
        <v>1</v>
      </c>
      <c r="C38" s="39">
        <v>3</v>
      </c>
      <c r="D38" s="40" t="s">
        <v>71</v>
      </c>
      <c r="E38" s="40" t="s">
        <v>13</v>
      </c>
      <c r="G38" s="39">
        <v>0</v>
      </c>
      <c r="H38" s="39">
        <v>0</v>
      </c>
      <c r="I38" s="40">
        <v>2677</v>
      </c>
      <c r="J38" s="41">
        <v>7.2292</v>
      </c>
      <c r="L38" s="39" t="s">
        <v>20</v>
      </c>
      <c r="M38" s="38">
        <f t="shared" si="0"/>
        <v>29.6991176470588</v>
      </c>
    </row>
    <row r="39" customHeight="1" spans="1:13">
      <c r="A39" s="39">
        <v>38</v>
      </c>
      <c r="B39" s="39">
        <v>0</v>
      </c>
      <c r="C39" s="39">
        <v>3</v>
      </c>
      <c r="D39" s="40" t="s">
        <v>72</v>
      </c>
      <c r="E39" s="40" t="s">
        <v>13</v>
      </c>
      <c r="F39" s="39">
        <v>21</v>
      </c>
      <c r="G39" s="39">
        <v>0</v>
      </c>
      <c r="H39" s="39">
        <v>0</v>
      </c>
      <c r="I39" s="40" t="s">
        <v>73</v>
      </c>
      <c r="J39" s="41">
        <v>8.05</v>
      </c>
      <c r="L39" s="39" t="s">
        <v>15</v>
      </c>
      <c r="M39" s="38">
        <f t="shared" si="0"/>
        <v>21</v>
      </c>
    </row>
    <row r="40" customHeight="1" spans="1:13">
      <c r="A40" s="39">
        <v>39</v>
      </c>
      <c r="B40" s="39">
        <v>0</v>
      </c>
      <c r="C40" s="39">
        <v>3</v>
      </c>
      <c r="D40" s="40" t="s">
        <v>74</v>
      </c>
      <c r="E40" s="40" t="s">
        <v>17</v>
      </c>
      <c r="F40" s="39">
        <v>18</v>
      </c>
      <c r="G40" s="39">
        <v>2</v>
      </c>
      <c r="H40" s="39">
        <v>0</v>
      </c>
      <c r="I40" s="40">
        <v>345764</v>
      </c>
      <c r="J40" s="41">
        <v>18</v>
      </c>
      <c r="L40" s="39" t="s">
        <v>15</v>
      </c>
      <c r="M40" s="38">
        <f t="shared" si="0"/>
        <v>18</v>
      </c>
    </row>
    <row r="41" customHeight="1" spans="1:13">
      <c r="A41" s="39">
        <v>40</v>
      </c>
      <c r="B41" s="39">
        <v>1</v>
      </c>
      <c r="C41" s="39">
        <v>3</v>
      </c>
      <c r="D41" s="40" t="s">
        <v>75</v>
      </c>
      <c r="E41" s="40" t="s">
        <v>17</v>
      </c>
      <c r="F41" s="39">
        <v>14</v>
      </c>
      <c r="G41" s="39">
        <v>1</v>
      </c>
      <c r="H41" s="39">
        <v>0</v>
      </c>
      <c r="I41" s="40">
        <v>2651</v>
      </c>
      <c r="J41" s="41">
        <v>11.2417</v>
      </c>
      <c r="L41" s="39" t="s">
        <v>20</v>
      </c>
      <c r="M41" s="38">
        <f t="shared" si="0"/>
        <v>14</v>
      </c>
    </row>
    <row r="42" customHeight="1" spans="1:13">
      <c r="A42" s="39">
        <v>41</v>
      </c>
      <c r="B42" s="39">
        <v>0</v>
      </c>
      <c r="C42" s="39">
        <v>3</v>
      </c>
      <c r="D42" s="40" t="s">
        <v>76</v>
      </c>
      <c r="E42" s="40" t="s">
        <v>17</v>
      </c>
      <c r="F42" s="39">
        <v>40</v>
      </c>
      <c r="G42" s="39">
        <v>1</v>
      </c>
      <c r="H42" s="39">
        <v>0</v>
      </c>
      <c r="I42" s="40">
        <v>7546</v>
      </c>
      <c r="J42" s="41">
        <v>9.475</v>
      </c>
      <c r="L42" s="39" t="s">
        <v>15</v>
      </c>
      <c r="M42" s="38">
        <f t="shared" si="0"/>
        <v>40</v>
      </c>
    </row>
    <row r="43" customHeight="1" spans="1:13">
      <c r="A43" s="39">
        <v>42</v>
      </c>
      <c r="B43" s="39">
        <v>0</v>
      </c>
      <c r="C43" s="39">
        <v>2</v>
      </c>
      <c r="D43" s="40" t="s">
        <v>77</v>
      </c>
      <c r="E43" s="40" t="s">
        <v>17</v>
      </c>
      <c r="F43" s="39">
        <v>27</v>
      </c>
      <c r="G43" s="39">
        <v>1</v>
      </c>
      <c r="H43" s="39">
        <v>0</v>
      </c>
      <c r="I43" s="40">
        <v>11668</v>
      </c>
      <c r="J43" s="41">
        <v>21</v>
      </c>
      <c r="L43" s="39" t="s">
        <v>15</v>
      </c>
      <c r="M43" s="38">
        <f t="shared" si="0"/>
        <v>27</v>
      </c>
    </row>
    <row r="44" customHeight="1" spans="1:13">
      <c r="A44" s="39">
        <v>43</v>
      </c>
      <c r="B44" s="39">
        <v>0</v>
      </c>
      <c r="C44" s="39">
        <v>3</v>
      </c>
      <c r="D44" s="40" t="s">
        <v>78</v>
      </c>
      <c r="E44" s="40" t="s">
        <v>13</v>
      </c>
      <c r="G44" s="39">
        <v>0</v>
      </c>
      <c r="H44" s="39">
        <v>0</v>
      </c>
      <c r="I44" s="40">
        <v>349253</v>
      </c>
      <c r="J44" s="41">
        <v>7.8958</v>
      </c>
      <c r="L44" s="39" t="s">
        <v>20</v>
      </c>
      <c r="M44" s="38">
        <f t="shared" si="0"/>
        <v>29.6991176470588</v>
      </c>
    </row>
    <row r="45" customHeight="1" spans="1:13">
      <c r="A45" s="39">
        <v>44</v>
      </c>
      <c r="B45" s="39">
        <v>1</v>
      </c>
      <c r="C45" s="39">
        <v>2</v>
      </c>
      <c r="D45" s="40" t="s">
        <v>79</v>
      </c>
      <c r="E45" s="40" t="s">
        <v>17</v>
      </c>
      <c r="F45" s="39">
        <v>3</v>
      </c>
      <c r="G45" s="39">
        <v>1</v>
      </c>
      <c r="H45" s="39">
        <v>2</v>
      </c>
      <c r="I45" s="40" t="s">
        <v>80</v>
      </c>
      <c r="J45" s="41">
        <v>41.5792</v>
      </c>
      <c r="L45" s="39" t="s">
        <v>20</v>
      </c>
      <c r="M45" s="38">
        <f t="shared" si="0"/>
        <v>3</v>
      </c>
    </row>
    <row r="46" customHeight="1" spans="1:13">
      <c r="A46" s="39">
        <v>45</v>
      </c>
      <c r="B46" s="39">
        <v>1</v>
      </c>
      <c r="C46" s="39">
        <v>3</v>
      </c>
      <c r="D46" s="40" t="s">
        <v>81</v>
      </c>
      <c r="E46" s="40" t="s">
        <v>17</v>
      </c>
      <c r="F46" s="39">
        <v>19</v>
      </c>
      <c r="G46" s="39">
        <v>0</v>
      </c>
      <c r="H46" s="39">
        <v>0</v>
      </c>
      <c r="I46" s="40">
        <v>330958</v>
      </c>
      <c r="J46" s="41">
        <v>7.8792</v>
      </c>
      <c r="L46" s="39" t="s">
        <v>27</v>
      </c>
      <c r="M46" s="38">
        <f t="shared" si="0"/>
        <v>19</v>
      </c>
    </row>
    <row r="47" customHeight="1" spans="1:13">
      <c r="A47" s="39">
        <v>46</v>
      </c>
      <c r="B47" s="39">
        <v>0</v>
      </c>
      <c r="C47" s="39">
        <v>3</v>
      </c>
      <c r="D47" s="40" t="s">
        <v>82</v>
      </c>
      <c r="E47" s="40" t="s">
        <v>13</v>
      </c>
      <c r="G47" s="39">
        <v>0</v>
      </c>
      <c r="H47" s="39">
        <v>0</v>
      </c>
      <c r="I47" s="40" t="s">
        <v>83</v>
      </c>
      <c r="J47" s="41">
        <v>8.05</v>
      </c>
      <c r="L47" s="39" t="s">
        <v>15</v>
      </c>
      <c r="M47" s="38">
        <f t="shared" si="0"/>
        <v>29.6991176470588</v>
      </c>
    </row>
    <row r="48" customHeight="1" spans="1:13">
      <c r="A48" s="39">
        <v>47</v>
      </c>
      <c r="B48" s="39">
        <v>0</v>
      </c>
      <c r="C48" s="39">
        <v>3</v>
      </c>
      <c r="D48" s="40" t="s">
        <v>84</v>
      </c>
      <c r="E48" s="40" t="s">
        <v>13</v>
      </c>
      <c r="G48" s="39">
        <v>1</v>
      </c>
      <c r="H48" s="39">
        <v>0</v>
      </c>
      <c r="I48" s="40">
        <v>370371</v>
      </c>
      <c r="J48" s="41">
        <v>15.5</v>
      </c>
      <c r="L48" s="39" t="s">
        <v>27</v>
      </c>
      <c r="M48" s="38">
        <f t="shared" si="0"/>
        <v>29.6991176470588</v>
      </c>
    </row>
    <row r="49" customHeight="1" spans="1:13">
      <c r="A49" s="39">
        <v>48</v>
      </c>
      <c r="B49" s="39">
        <v>1</v>
      </c>
      <c r="C49" s="39">
        <v>3</v>
      </c>
      <c r="D49" s="40" t="s">
        <v>85</v>
      </c>
      <c r="E49" s="40" t="s">
        <v>17</v>
      </c>
      <c r="G49" s="39">
        <v>0</v>
      </c>
      <c r="H49" s="39">
        <v>0</v>
      </c>
      <c r="I49" s="40">
        <v>14311</v>
      </c>
      <c r="J49" s="41">
        <v>7.75</v>
      </c>
      <c r="L49" s="39" t="s">
        <v>27</v>
      </c>
      <c r="M49" s="38">
        <f t="shared" si="0"/>
        <v>29.6991176470588</v>
      </c>
    </row>
    <row r="50" customHeight="1" spans="1:13">
      <c r="A50" s="39">
        <v>49</v>
      </c>
      <c r="B50" s="39">
        <v>0</v>
      </c>
      <c r="C50" s="39">
        <v>3</v>
      </c>
      <c r="D50" s="40" t="s">
        <v>86</v>
      </c>
      <c r="E50" s="40" t="s">
        <v>13</v>
      </c>
      <c r="G50" s="39">
        <v>2</v>
      </c>
      <c r="H50" s="39">
        <v>0</v>
      </c>
      <c r="I50" s="40">
        <v>2662</v>
      </c>
      <c r="J50" s="41">
        <v>21.6792</v>
      </c>
      <c r="L50" s="39" t="s">
        <v>20</v>
      </c>
      <c r="M50" s="38">
        <f t="shared" si="0"/>
        <v>29.6991176470588</v>
      </c>
    </row>
    <row r="51" customHeight="1" spans="1:13">
      <c r="A51" s="39">
        <v>50</v>
      </c>
      <c r="B51" s="39">
        <v>0</v>
      </c>
      <c r="C51" s="39">
        <v>3</v>
      </c>
      <c r="D51" s="40" t="s">
        <v>87</v>
      </c>
      <c r="E51" s="40" t="s">
        <v>17</v>
      </c>
      <c r="F51" s="39">
        <v>18</v>
      </c>
      <c r="G51" s="39">
        <v>1</v>
      </c>
      <c r="H51" s="39">
        <v>0</v>
      </c>
      <c r="I51" s="40">
        <v>349237</v>
      </c>
      <c r="J51" s="41">
        <v>17.8</v>
      </c>
      <c r="L51" s="39" t="s">
        <v>15</v>
      </c>
      <c r="M51" s="38">
        <f t="shared" si="0"/>
        <v>18</v>
      </c>
    </row>
    <row r="52" customHeight="1" spans="1:13">
      <c r="A52" s="39">
        <v>51</v>
      </c>
      <c r="B52" s="39">
        <v>0</v>
      </c>
      <c r="C52" s="39">
        <v>3</v>
      </c>
      <c r="D52" s="40" t="s">
        <v>88</v>
      </c>
      <c r="E52" s="40" t="s">
        <v>13</v>
      </c>
      <c r="F52" s="39">
        <v>7</v>
      </c>
      <c r="G52" s="39">
        <v>4</v>
      </c>
      <c r="H52" s="39">
        <v>1</v>
      </c>
      <c r="I52" s="40">
        <v>3101295</v>
      </c>
      <c r="J52" s="41">
        <v>39.6875</v>
      </c>
      <c r="L52" s="39" t="s">
        <v>15</v>
      </c>
      <c r="M52" s="38">
        <f t="shared" si="0"/>
        <v>7</v>
      </c>
    </row>
    <row r="53" customHeight="1" spans="1:13">
      <c r="A53" s="39">
        <v>52</v>
      </c>
      <c r="B53" s="39">
        <v>0</v>
      </c>
      <c r="C53" s="39">
        <v>3</v>
      </c>
      <c r="D53" s="40" t="s">
        <v>89</v>
      </c>
      <c r="E53" s="40" t="s">
        <v>13</v>
      </c>
      <c r="F53" s="39">
        <v>21</v>
      </c>
      <c r="G53" s="39">
        <v>0</v>
      </c>
      <c r="H53" s="39">
        <v>0</v>
      </c>
      <c r="I53" s="40" t="s">
        <v>90</v>
      </c>
      <c r="J53" s="41">
        <v>7.8</v>
      </c>
      <c r="L53" s="39" t="s">
        <v>15</v>
      </c>
      <c r="M53" s="38">
        <f t="shared" si="0"/>
        <v>21</v>
      </c>
    </row>
    <row r="54" customHeight="1" spans="1:13">
      <c r="A54" s="39">
        <v>53</v>
      </c>
      <c r="B54" s="39">
        <v>1</v>
      </c>
      <c r="C54" s="39">
        <v>1</v>
      </c>
      <c r="D54" s="40" t="s">
        <v>91</v>
      </c>
      <c r="E54" s="40" t="s">
        <v>17</v>
      </c>
      <c r="F54" s="39">
        <v>49</v>
      </c>
      <c r="G54" s="39">
        <v>1</v>
      </c>
      <c r="H54" s="39">
        <v>0</v>
      </c>
      <c r="I54" s="40" t="s">
        <v>92</v>
      </c>
      <c r="J54" s="41">
        <v>76.7292</v>
      </c>
      <c r="K54" s="42" t="s">
        <v>93</v>
      </c>
      <c r="L54" s="39" t="s">
        <v>20</v>
      </c>
      <c r="M54" s="38">
        <f t="shared" si="0"/>
        <v>49</v>
      </c>
    </row>
    <row r="55" customHeight="1" spans="1:13">
      <c r="A55" s="39">
        <v>54</v>
      </c>
      <c r="B55" s="39">
        <v>1</v>
      </c>
      <c r="C55" s="39">
        <v>2</v>
      </c>
      <c r="D55" s="40" t="s">
        <v>94</v>
      </c>
      <c r="E55" s="40" t="s">
        <v>17</v>
      </c>
      <c r="F55" s="39">
        <v>29</v>
      </c>
      <c r="G55" s="39">
        <v>1</v>
      </c>
      <c r="H55" s="39">
        <v>0</v>
      </c>
      <c r="I55" s="40">
        <v>2926</v>
      </c>
      <c r="J55" s="41">
        <v>26</v>
      </c>
      <c r="L55" s="39" t="s">
        <v>15</v>
      </c>
      <c r="M55" s="38">
        <f t="shared" si="0"/>
        <v>29</v>
      </c>
    </row>
    <row r="56" customHeight="1" spans="1:13">
      <c r="A56" s="39">
        <v>55</v>
      </c>
      <c r="B56" s="39">
        <v>0</v>
      </c>
      <c r="C56" s="39">
        <v>1</v>
      </c>
      <c r="D56" s="40" t="s">
        <v>95</v>
      </c>
      <c r="E56" s="40" t="s">
        <v>13</v>
      </c>
      <c r="F56" s="39">
        <v>65</v>
      </c>
      <c r="G56" s="39">
        <v>0</v>
      </c>
      <c r="H56" s="39">
        <v>1</v>
      </c>
      <c r="I56" s="40">
        <v>113509</v>
      </c>
      <c r="J56" s="41">
        <v>61.9792</v>
      </c>
      <c r="K56" s="42" t="s">
        <v>96</v>
      </c>
      <c r="L56" s="39" t="s">
        <v>20</v>
      </c>
      <c r="M56" s="38">
        <f t="shared" si="0"/>
        <v>65</v>
      </c>
    </row>
    <row r="57" customHeight="1" spans="1:13">
      <c r="A57" s="39">
        <v>56</v>
      </c>
      <c r="B57" s="39">
        <v>1</v>
      </c>
      <c r="C57" s="39">
        <v>1</v>
      </c>
      <c r="D57" s="40" t="s">
        <v>97</v>
      </c>
      <c r="E57" s="40" t="s">
        <v>13</v>
      </c>
      <c r="G57" s="39">
        <v>0</v>
      </c>
      <c r="H57" s="39">
        <v>0</v>
      </c>
      <c r="I57" s="40">
        <v>19947</v>
      </c>
      <c r="J57" s="41">
        <v>35.5</v>
      </c>
      <c r="K57" s="42" t="s">
        <v>98</v>
      </c>
      <c r="L57" s="39" t="s">
        <v>15</v>
      </c>
      <c r="M57" s="38">
        <f t="shared" si="0"/>
        <v>29.6991176470588</v>
      </c>
    </row>
    <row r="58" customHeight="1" spans="1:13">
      <c r="A58" s="39">
        <v>57</v>
      </c>
      <c r="B58" s="39">
        <v>1</v>
      </c>
      <c r="C58" s="39">
        <v>2</v>
      </c>
      <c r="D58" s="40" t="s">
        <v>99</v>
      </c>
      <c r="E58" s="40" t="s">
        <v>17</v>
      </c>
      <c r="F58" s="39">
        <v>21</v>
      </c>
      <c r="G58" s="39">
        <v>0</v>
      </c>
      <c r="H58" s="39">
        <v>0</v>
      </c>
      <c r="I58" s="40" t="s">
        <v>100</v>
      </c>
      <c r="J58" s="41">
        <v>10.5</v>
      </c>
      <c r="L58" s="39" t="s">
        <v>15</v>
      </c>
      <c r="M58" s="38">
        <f t="shared" si="0"/>
        <v>21</v>
      </c>
    </row>
    <row r="59" customHeight="1" spans="1:13">
      <c r="A59" s="39">
        <v>58</v>
      </c>
      <c r="B59" s="39">
        <v>0</v>
      </c>
      <c r="C59" s="39">
        <v>3</v>
      </c>
      <c r="D59" s="40" t="s">
        <v>101</v>
      </c>
      <c r="E59" s="40" t="s">
        <v>13</v>
      </c>
      <c r="F59" s="39">
        <v>28.5</v>
      </c>
      <c r="G59" s="39">
        <v>0</v>
      </c>
      <c r="H59" s="39">
        <v>0</v>
      </c>
      <c r="I59" s="40">
        <v>2697</v>
      </c>
      <c r="J59" s="41">
        <v>7.2292</v>
      </c>
      <c r="L59" s="39" t="s">
        <v>20</v>
      </c>
      <c r="M59" s="38">
        <f t="shared" si="0"/>
        <v>28.5</v>
      </c>
    </row>
    <row r="60" customHeight="1" spans="1:13">
      <c r="A60" s="39">
        <v>59</v>
      </c>
      <c r="B60" s="39">
        <v>1</v>
      </c>
      <c r="C60" s="39">
        <v>2</v>
      </c>
      <c r="D60" s="40" t="s">
        <v>102</v>
      </c>
      <c r="E60" s="40" t="s">
        <v>17</v>
      </c>
      <c r="F60" s="39">
        <v>5</v>
      </c>
      <c r="G60" s="39">
        <v>1</v>
      </c>
      <c r="H60" s="39">
        <v>2</v>
      </c>
      <c r="I60" s="40" t="s">
        <v>103</v>
      </c>
      <c r="J60" s="41">
        <v>27.75</v>
      </c>
      <c r="L60" s="39" t="s">
        <v>15</v>
      </c>
      <c r="M60" s="38">
        <f t="shared" si="0"/>
        <v>5</v>
      </c>
    </row>
    <row r="61" customHeight="1" spans="1:13">
      <c r="A61" s="39">
        <v>60</v>
      </c>
      <c r="B61" s="39">
        <v>0</v>
      </c>
      <c r="C61" s="39">
        <v>3</v>
      </c>
      <c r="D61" s="40" t="s">
        <v>104</v>
      </c>
      <c r="E61" s="40" t="s">
        <v>13</v>
      </c>
      <c r="F61" s="39">
        <v>11</v>
      </c>
      <c r="G61" s="39">
        <v>5</v>
      </c>
      <c r="H61" s="39">
        <v>2</v>
      </c>
      <c r="I61" s="40" t="s">
        <v>105</v>
      </c>
      <c r="J61" s="41">
        <v>46.9</v>
      </c>
      <c r="L61" s="39" t="s">
        <v>15</v>
      </c>
      <c r="M61" s="38">
        <f t="shared" si="0"/>
        <v>11</v>
      </c>
    </row>
    <row r="62" customHeight="1" spans="1:13">
      <c r="A62" s="39">
        <v>61</v>
      </c>
      <c r="B62" s="39">
        <v>0</v>
      </c>
      <c r="C62" s="39">
        <v>3</v>
      </c>
      <c r="D62" s="40" t="s">
        <v>106</v>
      </c>
      <c r="E62" s="40" t="s">
        <v>13</v>
      </c>
      <c r="F62" s="39">
        <v>22</v>
      </c>
      <c r="G62" s="39">
        <v>0</v>
      </c>
      <c r="H62" s="39">
        <v>0</v>
      </c>
      <c r="I62" s="40">
        <v>2669</v>
      </c>
      <c r="J62" s="41">
        <v>7.2292</v>
      </c>
      <c r="L62" s="39" t="s">
        <v>20</v>
      </c>
      <c r="M62" s="38">
        <f t="shared" si="0"/>
        <v>22</v>
      </c>
    </row>
    <row r="63" customHeight="1" spans="1:13">
      <c r="A63" s="39">
        <v>62</v>
      </c>
      <c r="B63" s="39">
        <v>1</v>
      </c>
      <c r="C63" s="39">
        <v>1</v>
      </c>
      <c r="D63" s="40" t="s">
        <v>107</v>
      </c>
      <c r="E63" s="40" t="s">
        <v>17</v>
      </c>
      <c r="F63" s="39">
        <v>38</v>
      </c>
      <c r="G63" s="39">
        <v>0</v>
      </c>
      <c r="H63" s="39">
        <v>0</v>
      </c>
      <c r="I63" s="40">
        <v>113572</v>
      </c>
      <c r="J63" s="41">
        <v>80</v>
      </c>
      <c r="K63" s="42" t="s">
        <v>108</v>
      </c>
      <c r="M63" s="38">
        <f t="shared" si="0"/>
        <v>38</v>
      </c>
    </row>
    <row r="64" customHeight="1" spans="1:13">
      <c r="A64" s="39">
        <v>63</v>
      </c>
      <c r="B64" s="39">
        <v>0</v>
      </c>
      <c r="C64" s="39">
        <v>1</v>
      </c>
      <c r="D64" s="40" t="s">
        <v>109</v>
      </c>
      <c r="E64" s="40" t="s">
        <v>13</v>
      </c>
      <c r="F64" s="39">
        <v>45</v>
      </c>
      <c r="G64" s="39">
        <v>1</v>
      </c>
      <c r="H64" s="39">
        <v>0</v>
      </c>
      <c r="I64" s="40">
        <v>36973</v>
      </c>
      <c r="J64" s="41">
        <v>83.475</v>
      </c>
      <c r="K64" s="42" t="s">
        <v>110</v>
      </c>
      <c r="L64" s="39" t="s">
        <v>15</v>
      </c>
      <c r="M64" s="38">
        <f t="shared" si="0"/>
        <v>45</v>
      </c>
    </row>
    <row r="65" customHeight="1" spans="1:13">
      <c r="A65" s="39">
        <v>64</v>
      </c>
      <c r="B65" s="39">
        <v>0</v>
      </c>
      <c r="C65" s="39">
        <v>3</v>
      </c>
      <c r="D65" s="40" t="s">
        <v>111</v>
      </c>
      <c r="E65" s="40" t="s">
        <v>13</v>
      </c>
      <c r="F65" s="39">
        <v>4</v>
      </c>
      <c r="G65" s="39">
        <v>3</v>
      </c>
      <c r="H65" s="39">
        <v>2</v>
      </c>
      <c r="I65" s="40">
        <v>347088</v>
      </c>
      <c r="J65" s="41">
        <v>27.9</v>
      </c>
      <c r="L65" s="39" t="s">
        <v>15</v>
      </c>
      <c r="M65" s="38">
        <f t="shared" si="0"/>
        <v>4</v>
      </c>
    </row>
    <row r="66" customHeight="1" spans="1:13">
      <c r="A66" s="39">
        <v>65</v>
      </c>
      <c r="B66" s="39">
        <v>0</v>
      </c>
      <c r="C66" s="39">
        <v>1</v>
      </c>
      <c r="D66" s="40" t="s">
        <v>112</v>
      </c>
      <c r="E66" s="40" t="s">
        <v>13</v>
      </c>
      <c r="G66" s="39">
        <v>0</v>
      </c>
      <c r="H66" s="39">
        <v>0</v>
      </c>
      <c r="I66" s="40" t="s">
        <v>113</v>
      </c>
      <c r="J66" s="41">
        <v>27.7208</v>
      </c>
      <c r="L66" s="39" t="s">
        <v>20</v>
      </c>
      <c r="M66" s="38">
        <f t="shared" ref="M66:M129" si="1">IF(F66="",AVERAGE($F$2:$F$892),F66)</f>
        <v>29.6991176470588</v>
      </c>
    </row>
    <row r="67" customHeight="1" spans="1:13">
      <c r="A67" s="39">
        <v>66</v>
      </c>
      <c r="B67" s="39">
        <v>1</v>
      </c>
      <c r="C67" s="39">
        <v>3</v>
      </c>
      <c r="D67" s="40" t="s">
        <v>114</v>
      </c>
      <c r="E67" s="40" t="s">
        <v>13</v>
      </c>
      <c r="G67" s="39">
        <v>1</v>
      </c>
      <c r="H67" s="39">
        <v>1</v>
      </c>
      <c r="I67" s="40">
        <v>2661</v>
      </c>
      <c r="J67" s="41">
        <v>15.2458</v>
      </c>
      <c r="L67" s="39" t="s">
        <v>20</v>
      </c>
      <c r="M67" s="38">
        <f t="shared" si="1"/>
        <v>29.6991176470588</v>
      </c>
    </row>
    <row r="68" customHeight="1" spans="1:13">
      <c r="A68" s="39">
        <v>67</v>
      </c>
      <c r="B68" s="39">
        <v>1</v>
      </c>
      <c r="C68" s="39">
        <v>2</v>
      </c>
      <c r="D68" s="40" t="s">
        <v>115</v>
      </c>
      <c r="E68" s="40" t="s">
        <v>17</v>
      </c>
      <c r="F68" s="39">
        <v>29</v>
      </c>
      <c r="G68" s="39">
        <v>0</v>
      </c>
      <c r="H68" s="39">
        <v>0</v>
      </c>
      <c r="I68" s="40" t="s">
        <v>116</v>
      </c>
      <c r="J68" s="41">
        <v>10.5</v>
      </c>
      <c r="K68" s="42" t="s">
        <v>117</v>
      </c>
      <c r="L68" s="39" t="s">
        <v>15</v>
      </c>
      <c r="M68" s="38">
        <f t="shared" si="1"/>
        <v>29</v>
      </c>
    </row>
    <row r="69" customHeight="1" spans="1:13">
      <c r="A69" s="39">
        <v>68</v>
      </c>
      <c r="B69" s="39">
        <v>0</v>
      </c>
      <c r="C69" s="39">
        <v>3</v>
      </c>
      <c r="D69" s="40" t="s">
        <v>118</v>
      </c>
      <c r="E69" s="40" t="s">
        <v>13</v>
      </c>
      <c r="F69" s="39">
        <v>19</v>
      </c>
      <c r="G69" s="39">
        <v>0</v>
      </c>
      <c r="H69" s="39">
        <v>0</v>
      </c>
      <c r="I69" s="40" t="s">
        <v>119</v>
      </c>
      <c r="J69" s="41">
        <v>8.1583</v>
      </c>
      <c r="L69" s="39" t="s">
        <v>15</v>
      </c>
      <c r="M69" s="38">
        <f t="shared" si="1"/>
        <v>19</v>
      </c>
    </row>
    <row r="70" customHeight="1" spans="1:13">
      <c r="A70" s="39">
        <v>69</v>
      </c>
      <c r="B70" s="39">
        <v>1</v>
      </c>
      <c r="C70" s="39">
        <v>3</v>
      </c>
      <c r="D70" s="40" t="s">
        <v>120</v>
      </c>
      <c r="E70" s="40" t="s">
        <v>17</v>
      </c>
      <c r="F70" s="39">
        <v>17</v>
      </c>
      <c r="G70" s="39">
        <v>4</v>
      </c>
      <c r="H70" s="39">
        <v>2</v>
      </c>
      <c r="I70" s="40">
        <v>3101281</v>
      </c>
      <c r="J70" s="41">
        <v>7.925</v>
      </c>
      <c r="L70" s="39" t="s">
        <v>15</v>
      </c>
      <c r="M70" s="38">
        <f t="shared" si="1"/>
        <v>17</v>
      </c>
    </row>
    <row r="71" customHeight="1" spans="1:13">
      <c r="A71" s="39">
        <v>70</v>
      </c>
      <c r="B71" s="39">
        <v>0</v>
      </c>
      <c r="C71" s="39">
        <v>3</v>
      </c>
      <c r="D71" s="40" t="s">
        <v>121</v>
      </c>
      <c r="E71" s="40" t="s">
        <v>13</v>
      </c>
      <c r="F71" s="39">
        <v>26</v>
      </c>
      <c r="G71" s="39">
        <v>2</v>
      </c>
      <c r="H71" s="39">
        <v>0</v>
      </c>
      <c r="I71" s="40">
        <v>315151</v>
      </c>
      <c r="J71" s="41">
        <v>8.6625</v>
      </c>
      <c r="L71" s="39" t="s">
        <v>15</v>
      </c>
      <c r="M71" s="38">
        <f t="shared" si="1"/>
        <v>26</v>
      </c>
    </row>
    <row r="72" customHeight="1" spans="1:13">
      <c r="A72" s="39">
        <v>71</v>
      </c>
      <c r="B72" s="39">
        <v>0</v>
      </c>
      <c r="C72" s="39">
        <v>2</v>
      </c>
      <c r="D72" s="40" t="s">
        <v>122</v>
      </c>
      <c r="E72" s="40" t="s">
        <v>13</v>
      </c>
      <c r="F72" s="39">
        <v>32</v>
      </c>
      <c r="G72" s="39">
        <v>0</v>
      </c>
      <c r="H72" s="39">
        <v>0</v>
      </c>
      <c r="I72" s="40" t="s">
        <v>123</v>
      </c>
      <c r="J72" s="41">
        <v>10.5</v>
      </c>
      <c r="L72" s="39" t="s">
        <v>15</v>
      </c>
      <c r="M72" s="38">
        <f t="shared" si="1"/>
        <v>32</v>
      </c>
    </row>
    <row r="73" customHeight="1" spans="1:13">
      <c r="A73" s="39">
        <v>72</v>
      </c>
      <c r="B73" s="39">
        <v>0</v>
      </c>
      <c r="C73" s="39">
        <v>3</v>
      </c>
      <c r="D73" s="40" t="s">
        <v>124</v>
      </c>
      <c r="E73" s="40" t="s">
        <v>17</v>
      </c>
      <c r="F73" s="39">
        <v>16</v>
      </c>
      <c r="G73" s="39">
        <v>5</v>
      </c>
      <c r="H73" s="39">
        <v>2</v>
      </c>
      <c r="I73" s="40" t="s">
        <v>105</v>
      </c>
      <c r="J73" s="41">
        <v>46.9</v>
      </c>
      <c r="L73" s="39" t="s">
        <v>15</v>
      </c>
      <c r="M73" s="38">
        <f t="shared" si="1"/>
        <v>16</v>
      </c>
    </row>
    <row r="74" customHeight="1" spans="1:13">
      <c r="A74" s="39">
        <v>73</v>
      </c>
      <c r="B74" s="39">
        <v>0</v>
      </c>
      <c r="C74" s="39">
        <v>2</v>
      </c>
      <c r="D74" s="40" t="s">
        <v>125</v>
      </c>
      <c r="E74" s="40" t="s">
        <v>13</v>
      </c>
      <c r="F74" s="39">
        <v>21</v>
      </c>
      <c r="G74" s="39">
        <v>0</v>
      </c>
      <c r="H74" s="39">
        <v>0</v>
      </c>
      <c r="I74" s="40" t="s">
        <v>126</v>
      </c>
      <c r="J74" s="41">
        <v>73.5</v>
      </c>
      <c r="L74" s="39" t="s">
        <v>15</v>
      </c>
      <c r="M74" s="38">
        <f t="shared" si="1"/>
        <v>21</v>
      </c>
    </row>
    <row r="75" customHeight="1" spans="1:13">
      <c r="A75" s="39">
        <v>74</v>
      </c>
      <c r="B75" s="39">
        <v>0</v>
      </c>
      <c r="C75" s="39">
        <v>3</v>
      </c>
      <c r="D75" s="40" t="s">
        <v>127</v>
      </c>
      <c r="E75" s="40" t="s">
        <v>13</v>
      </c>
      <c r="F75" s="39">
        <v>26</v>
      </c>
      <c r="G75" s="39">
        <v>1</v>
      </c>
      <c r="H75" s="39">
        <v>0</v>
      </c>
      <c r="I75" s="40">
        <v>2680</v>
      </c>
      <c r="J75" s="41">
        <v>14.4542</v>
      </c>
      <c r="L75" s="39" t="s">
        <v>20</v>
      </c>
      <c r="M75" s="38">
        <f t="shared" si="1"/>
        <v>26</v>
      </c>
    </row>
    <row r="76" customHeight="1" spans="1:13">
      <c r="A76" s="39">
        <v>75</v>
      </c>
      <c r="B76" s="39">
        <v>1</v>
      </c>
      <c r="C76" s="39">
        <v>3</v>
      </c>
      <c r="D76" s="40" t="s">
        <v>128</v>
      </c>
      <c r="E76" s="40" t="s">
        <v>13</v>
      </c>
      <c r="F76" s="39">
        <v>32</v>
      </c>
      <c r="G76" s="39">
        <v>0</v>
      </c>
      <c r="H76" s="39">
        <v>0</v>
      </c>
      <c r="I76" s="40">
        <v>1601</v>
      </c>
      <c r="J76" s="41">
        <v>56.4958</v>
      </c>
      <c r="L76" s="39" t="s">
        <v>15</v>
      </c>
      <c r="M76" s="38">
        <f t="shared" si="1"/>
        <v>32</v>
      </c>
    </row>
    <row r="77" customHeight="1" spans="1:13">
      <c r="A77" s="39">
        <v>76</v>
      </c>
      <c r="B77" s="39">
        <v>0</v>
      </c>
      <c r="C77" s="39">
        <v>3</v>
      </c>
      <c r="D77" s="40" t="s">
        <v>129</v>
      </c>
      <c r="E77" s="40" t="s">
        <v>13</v>
      </c>
      <c r="F77" s="39">
        <v>25</v>
      </c>
      <c r="G77" s="39">
        <v>0</v>
      </c>
      <c r="H77" s="39">
        <v>0</v>
      </c>
      <c r="I77" s="40">
        <v>348123</v>
      </c>
      <c r="J77" s="41">
        <v>7.65</v>
      </c>
      <c r="K77" s="42" t="s">
        <v>130</v>
      </c>
      <c r="L77" s="39" t="s">
        <v>15</v>
      </c>
      <c r="M77" s="38">
        <f t="shared" si="1"/>
        <v>25</v>
      </c>
    </row>
    <row r="78" customHeight="1" spans="1:13">
      <c r="A78" s="39">
        <v>77</v>
      </c>
      <c r="B78" s="39">
        <v>0</v>
      </c>
      <c r="C78" s="39">
        <v>3</v>
      </c>
      <c r="D78" s="40" t="s">
        <v>131</v>
      </c>
      <c r="E78" s="40" t="s">
        <v>13</v>
      </c>
      <c r="G78" s="39">
        <v>0</v>
      </c>
      <c r="H78" s="39">
        <v>0</v>
      </c>
      <c r="I78" s="40">
        <v>349208</v>
      </c>
      <c r="J78" s="41">
        <v>7.8958</v>
      </c>
      <c r="L78" s="39" t="s">
        <v>15</v>
      </c>
      <c r="M78" s="38">
        <f t="shared" si="1"/>
        <v>29.6991176470588</v>
      </c>
    </row>
    <row r="79" customHeight="1" spans="1:13">
      <c r="A79" s="39">
        <v>78</v>
      </c>
      <c r="B79" s="39">
        <v>0</v>
      </c>
      <c r="C79" s="39">
        <v>3</v>
      </c>
      <c r="D79" s="40" t="s">
        <v>132</v>
      </c>
      <c r="E79" s="40" t="s">
        <v>13</v>
      </c>
      <c r="G79" s="39">
        <v>0</v>
      </c>
      <c r="H79" s="39">
        <v>0</v>
      </c>
      <c r="I79" s="40">
        <v>374746</v>
      </c>
      <c r="J79" s="41">
        <v>8.05</v>
      </c>
      <c r="L79" s="39" t="s">
        <v>15</v>
      </c>
      <c r="M79" s="38">
        <f t="shared" si="1"/>
        <v>29.6991176470588</v>
      </c>
    </row>
    <row r="80" customHeight="1" spans="1:13">
      <c r="A80" s="39">
        <v>79</v>
      </c>
      <c r="B80" s="39">
        <v>1</v>
      </c>
      <c r="C80" s="39">
        <v>2</v>
      </c>
      <c r="D80" s="40" t="s">
        <v>133</v>
      </c>
      <c r="E80" s="40" t="s">
        <v>13</v>
      </c>
      <c r="F80" s="39">
        <v>0.83</v>
      </c>
      <c r="G80" s="39">
        <v>0</v>
      </c>
      <c r="H80" s="39">
        <v>2</v>
      </c>
      <c r="I80" s="40">
        <v>248738</v>
      </c>
      <c r="J80" s="41">
        <v>29</v>
      </c>
      <c r="L80" s="39" t="s">
        <v>15</v>
      </c>
      <c r="M80" s="38">
        <f t="shared" si="1"/>
        <v>0.83</v>
      </c>
    </row>
    <row r="81" customHeight="1" spans="1:13">
      <c r="A81" s="39">
        <v>80</v>
      </c>
      <c r="B81" s="39">
        <v>1</v>
      </c>
      <c r="C81" s="39">
        <v>3</v>
      </c>
      <c r="D81" s="40" t="s">
        <v>134</v>
      </c>
      <c r="E81" s="40" t="s">
        <v>17</v>
      </c>
      <c r="F81" s="39">
        <v>30</v>
      </c>
      <c r="G81" s="39">
        <v>0</v>
      </c>
      <c r="H81" s="39">
        <v>0</v>
      </c>
      <c r="I81" s="40">
        <v>364516</v>
      </c>
      <c r="J81" s="41">
        <v>12.475</v>
      </c>
      <c r="L81" s="39" t="s">
        <v>15</v>
      </c>
      <c r="M81" s="38">
        <f t="shared" si="1"/>
        <v>30</v>
      </c>
    </row>
    <row r="82" customHeight="1" spans="1:13">
      <c r="A82" s="39">
        <v>81</v>
      </c>
      <c r="B82" s="39">
        <v>0</v>
      </c>
      <c r="C82" s="39">
        <v>3</v>
      </c>
      <c r="D82" s="40" t="s">
        <v>135</v>
      </c>
      <c r="E82" s="40" t="s">
        <v>13</v>
      </c>
      <c r="F82" s="39">
        <v>22</v>
      </c>
      <c r="G82" s="39">
        <v>0</v>
      </c>
      <c r="H82" s="39">
        <v>0</v>
      </c>
      <c r="I82" s="40">
        <v>345767</v>
      </c>
      <c r="J82" s="41">
        <v>9</v>
      </c>
      <c r="L82" s="39" t="s">
        <v>15</v>
      </c>
      <c r="M82" s="38">
        <f t="shared" si="1"/>
        <v>22</v>
      </c>
    </row>
    <row r="83" customHeight="1" spans="1:13">
      <c r="A83" s="39">
        <v>82</v>
      </c>
      <c r="B83" s="39">
        <v>1</v>
      </c>
      <c r="C83" s="39">
        <v>3</v>
      </c>
      <c r="D83" s="40" t="s">
        <v>136</v>
      </c>
      <c r="E83" s="40" t="s">
        <v>13</v>
      </c>
      <c r="F83" s="39">
        <v>29</v>
      </c>
      <c r="G83" s="39">
        <v>0</v>
      </c>
      <c r="H83" s="39">
        <v>0</v>
      </c>
      <c r="I83" s="40">
        <v>345779</v>
      </c>
      <c r="J83" s="41">
        <v>9.5</v>
      </c>
      <c r="L83" s="39" t="s">
        <v>15</v>
      </c>
      <c r="M83" s="38">
        <f t="shared" si="1"/>
        <v>29</v>
      </c>
    </row>
    <row r="84" customHeight="1" spans="1:13">
      <c r="A84" s="39">
        <v>83</v>
      </c>
      <c r="B84" s="39">
        <v>1</v>
      </c>
      <c r="C84" s="39">
        <v>3</v>
      </c>
      <c r="D84" s="40" t="s">
        <v>137</v>
      </c>
      <c r="E84" s="40" t="s">
        <v>17</v>
      </c>
      <c r="G84" s="39">
        <v>0</v>
      </c>
      <c r="H84" s="39">
        <v>0</v>
      </c>
      <c r="I84" s="40">
        <v>330932</v>
      </c>
      <c r="J84" s="41">
        <v>7.7875</v>
      </c>
      <c r="L84" s="39" t="s">
        <v>27</v>
      </c>
      <c r="M84" s="38">
        <f t="shared" si="1"/>
        <v>29.6991176470588</v>
      </c>
    </row>
    <row r="85" customHeight="1" spans="1:13">
      <c r="A85" s="39">
        <v>84</v>
      </c>
      <c r="B85" s="39">
        <v>0</v>
      </c>
      <c r="C85" s="39">
        <v>1</v>
      </c>
      <c r="D85" s="40" t="s">
        <v>138</v>
      </c>
      <c r="E85" s="40" t="s">
        <v>13</v>
      </c>
      <c r="F85" s="39">
        <v>28</v>
      </c>
      <c r="G85" s="39">
        <v>0</v>
      </c>
      <c r="H85" s="39">
        <v>0</v>
      </c>
      <c r="I85" s="40">
        <v>113059</v>
      </c>
      <c r="J85" s="41">
        <v>47.1</v>
      </c>
      <c r="L85" s="39" t="s">
        <v>15</v>
      </c>
      <c r="M85" s="38">
        <f t="shared" si="1"/>
        <v>28</v>
      </c>
    </row>
    <row r="86" customHeight="1" spans="1:13">
      <c r="A86" s="39">
        <v>85</v>
      </c>
      <c r="B86" s="39">
        <v>1</v>
      </c>
      <c r="C86" s="39">
        <v>2</v>
      </c>
      <c r="D86" s="40" t="s">
        <v>139</v>
      </c>
      <c r="E86" s="40" t="s">
        <v>17</v>
      </c>
      <c r="F86" s="39">
        <v>17</v>
      </c>
      <c r="G86" s="39">
        <v>0</v>
      </c>
      <c r="H86" s="39">
        <v>0</v>
      </c>
      <c r="I86" s="40" t="s">
        <v>140</v>
      </c>
      <c r="J86" s="41">
        <v>10.5</v>
      </c>
      <c r="L86" s="39" t="s">
        <v>15</v>
      </c>
      <c r="M86" s="38">
        <f t="shared" si="1"/>
        <v>17</v>
      </c>
    </row>
    <row r="87" customHeight="1" spans="1:13">
      <c r="A87" s="39">
        <v>86</v>
      </c>
      <c r="B87" s="39">
        <v>1</v>
      </c>
      <c r="C87" s="39">
        <v>3</v>
      </c>
      <c r="D87" s="40" t="s">
        <v>141</v>
      </c>
      <c r="E87" s="40" t="s">
        <v>17</v>
      </c>
      <c r="F87" s="39">
        <v>33</v>
      </c>
      <c r="G87" s="39">
        <v>3</v>
      </c>
      <c r="H87" s="39">
        <v>0</v>
      </c>
      <c r="I87" s="40">
        <v>3101278</v>
      </c>
      <c r="J87" s="41">
        <v>15.85</v>
      </c>
      <c r="L87" s="39" t="s">
        <v>15</v>
      </c>
      <c r="M87" s="38">
        <f t="shared" si="1"/>
        <v>33</v>
      </c>
    </row>
    <row r="88" customHeight="1" spans="1:13">
      <c r="A88" s="39">
        <v>87</v>
      </c>
      <c r="B88" s="39">
        <v>0</v>
      </c>
      <c r="C88" s="39">
        <v>3</v>
      </c>
      <c r="D88" s="40" t="s">
        <v>142</v>
      </c>
      <c r="E88" s="40" t="s">
        <v>13</v>
      </c>
      <c r="F88" s="39">
        <v>16</v>
      </c>
      <c r="G88" s="39">
        <v>1</v>
      </c>
      <c r="H88" s="39">
        <v>3</v>
      </c>
      <c r="I88" s="40" t="s">
        <v>143</v>
      </c>
      <c r="J88" s="41">
        <v>34.375</v>
      </c>
      <c r="L88" s="39" t="s">
        <v>15</v>
      </c>
      <c r="M88" s="38">
        <f t="shared" si="1"/>
        <v>16</v>
      </c>
    </row>
    <row r="89" customHeight="1" spans="1:13">
      <c r="A89" s="39">
        <v>88</v>
      </c>
      <c r="B89" s="39">
        <v>0</v>
      </c>
      <c r="C89" s="39">
        <v>3</v>
      </c>
      <c r="D89" s="40" t="s">
        <v>144</v>
      </c>
      <c r="E89" s="40" t="s">
        <v>13</v>
      </c>
      <c r="G89" s="39">
        <v>0</v>
      </c>
      <c r="H89" s="39">
        <v>0</v>
      </c>
      <c r="I89" s="40" t="s">
        <v>145</v>
      </c>
      <c r="J89" s="41">
        <v>8.05</v>
      </c>
      <c r="L89" s="39" t="s">
        <v>15</v>
      </c>
      <c r="M89" s="38">
        <f t="shared" si="1"/>
        <v>29.6991176470588</v>
      </c>
    </row>
    <row r="90" customHeight="1" spans="1:13">
      <c r="A90" s="39">
        <v>89</v>
      </c>
      <c r="B90" s="39">
        <v>1</v>
      </c>
      <c r="C90" s="39">
        <v>1</v>
      </c>
      <c r="D90" s="40" t="s">
        <v>146</v>
      </c>
      <c r="E90" s="40" t="s">
        <v>17</v>
      </c>
      <c r="F90" s="39">
        <v>23</v>
      </c>
      <c r="G90" s="39">
        <v>3</v>
      </c>
      <c r="H90" s="39">
        <v>2</v>
      </c>
      <c r="I90" s="40">
        <v>19950</v>
      </c>
      <c r="J90" s="41">
        <v>263</v>
      </c>
      <c r="K90" s="42" t="s">
        <v>57</v>
      </c>
      <c r="L90" s="39" t="s">
        <v>15</v>
      </c>
      <c r="M90" s="38">
        <f t="shared" si="1"/>
        <v>23</v>
      </c>
    </row>
    <row r="91" customHeight="1" spans="1:13">
      <c r="A91" s="39">
        <v>90</v>
      </c>
      <c r="B91" s="39">
        <v>0</v>
      </c>
      <c r="C91" s="39">
        <v>3</v>
      </c>
      <c r="D91" s="40" t="s">
        <v>147</v>
      </c>
      <c r="E91" s="40" t="s">
        <v>13</v>
      </c>
      <c r="F91" s="39">
        <v>24</v>
      </c>
      <c r="G91" s="39">
        <v>0</v>
      </c>
      <c r="H91" s="39">
        <v>0</v>
      </c>
      <c r="I91" s="40">
        <v>343275</v>
      </c>
      <c r="J91" s="41">
        <v>8.05</v>
      </c>
      <c r="L91" s="39" t="s">
        <v>15</v>
      </c>
      <c r="M91" s="38">
        <f t="shared" si="1"/>
        <v>24</v>
      </c>
    </row>
    <row r="92" customHeight="1" spans="1:13">
      <c r="A92" s="39">
        <v>91</v>
      </c>
      <c r="B92" s="39">
        <v>0</v>
      </c>
      <c r="C92" s="39">
        <v>3</v>
      </c>
      <c r="D92" s="40" t="s">
        <v>148</v>
      </c>
      <c r="E92" s="40" t="s">
        <v>13</v>
      </c>
      <c r="F92" s="39">
        <v>29</v>
      </c>
      <c r="G92" s="39">
        <v>0</v>
      </c>
      <c r="H92" s="39">
        <v>0</v>
      </c>
      <c r="I92" s="40">
        <v>343276</v>
      </c>
      <c r="J92" s="41">
        <v>8.05</v>
      </c>
      <c r="L92" s="39" t="s">
        <v>15</v>
      </c>
      <c r="M92" s="38">
        <f t="shared" si="1"/>
        <v>29</v>
      </c>
    </row>
    <row r="93" customHeight="1" spans="1:13">
      <c r="A93" s="39">
        <v>92</v>
      </c>
      <c r="B93" s="39">
        <v>0</v>
      </c>
      <c r="C93" s="39">
        <v>3</v>
      </c>
      <c r="D93" s="40" t="s">
        <v>149</v>
      </c>
      <c r="E93" s="40" t="s">
        <v>13</v>
      </c>
      <c r="F93" s="39">
        <v>20</v>
      </c>
      <c r="G93" s="39">
        <v>0</v>
      </c>
      <c r="H93" s="39">
        <v>0</v>
      </c>
      <c r="I93" s="40">
        <v>347466</v>
      </c>
      <c r="J93" s="41">
        <v>7.8542</v>
      </c>
      <c r="L93" s="39" t="s">
        <v>15</v>
      </c>
      <c r="M93" s="38">
        <f t="shared" si="1"/>
        <v>20</v>
      </c>
    </row>
    <row r="94" customHeight="1" spans="1:13">
      <c r="A94" s="39">
        <v>93</v>
      </c>
      <c r="B94" s="39">
        <v>0</v>
      </c>
      <c r="C94" s="39">
        <v>1</v>
      </c>
      <c r="D94" s="40" t="s">
        <v>150</v>
      </c>
      <c r="E94" s="40" t="s">
        <v>13</v>
      </c>
      <c r="F94" s="39">
        <v>46</v>
      </c>
      <c r="G94" s="39">
        <v>1</v>
      </c>
      <c r="H94" s="39">
        <v>0</v>
      </c>
      <c r="I94" s="40" t="s">
        <v>151</v>
      </c>
      <c r="J94" s="41">
        <v>61.175</v>
      </c>
      <c r="K94" s="42" t="s">
        <v>152</v>
      </c>
      <c r="L94" s="39" t="s">
        <v>15</v>
      </c>
      <c r="M94" s="38">
        <f t="shared" si="1"/>
        <v>46</v>
      </c>
    </row>
    <row r="95" customHeight="1" spans="1:13">
      <c r="A95" s="39">
        <v>94</v>
      </c>
      <c r="B95" s="39">
        <v>0</v>
      </c>
      <c r="C95" s="39">
        <v>3</v>
      </c>
      <c r="D95" s="40" t="s">
        <v>153</v>
      </c>
      <c r="E95" s="40" t="s">
        <v>13</v>
      </c>
      <c r="F95" s="39">
        <v>26</v>
      </c>
      <c r="G95" s="39">
        <v>1</v>
      </c>
      <c r="H95" s="39">
        <v>2</v>
      </c>
      <c r="I95" s="40" t="s">
        <v>154</v>
      </c>
      <c r="J95" s="41">
        <v>20.575</v>
      </c>
      <c r="L95" s="39" t="s">
        <v>15</v>
      </c>
      <c r="M95" s="38">
        <f t="shared" si="1"/>
        <v>26</v>
      </c>
    </row>
    <row r="96" customHeight="1" spans="1:13">
      <c r="A96" s="39">
        <v>95</v>
      </c>
      <c r="B96" s="39">
        <v>0</v>
      </c>
      <c r="C96" s="39">
        <v>3</v>
      </c>
      <c r="D96" s="40" t="s">
        <v>155</v>
      </c>
      <c r="E96" s="40" t="s">
        <v>13</v>
      </c>
      <c r="F96" s="39">
        <v>59</v>
      </c>
      <c r="G96" s="39">
        <v>0</v>
      </c>
      <c r="H96" s="39">
        <v>0</v>
      </c>
      <c r="I96" s="40">
        <v>364500</v>
      </c>
      <c r="J96" s="41">
        <v>7.25</v>
      </c>
      <c r="L96" s="39" t="s">
        <v>15</v>
      </c>
      <c r="M96" s="38">
        <f t="shared" si="1"/>
        <v>59</v>
      </c>
    </row>
    <row r="97" customHeight="1" spans="1:13">
      <c r="A97" s="39">
        <v>96</v>
      </c>
      <c r="B97" s="39">
        <v>0</v>
      </c>
      <c r="C97" s="39">
        <v>3</v>
      </c>
      <c r="D97" s="40" t="s">
        <v>156</v>
      </c>
      <c r="E97" s="40" t="s">
        <v>13</v>
      </c>
      <c r="G97" s="39">
        <v>0</v>
      </c>
      <c r="H97" s="39">
        <v>0</v>
      </c>
      <c r="I97" s="40">
        <v>374910</v>
      </c>
      <c r="J97" s="41">
        <v>8.05</v>
      </c>
      <c r="L97" s="39" t="s">
        <v>15</v>
      </c>
      <c r="M97" s="38">
        <f t="shared" si="1"/>
        <v>29.6991176470588</v>
      </c>
    </row>
    <row r="98" customHeight="1" spans="1:13">
      <c r="A98" s="39">
        <v>97</v>
      </c>
      <c r="B98" s="39">
        <v>0</v>
      </c>
      <c r="C98" s="39">
        <v>1</v>
      </c>
      <c r="D98" s="40" t="s">
        <v>157</v>
      </c>
      <c r="E98" s="40" t="s">
        <v>13</v>
      </c>
      <c r="F98" s="39">
        <v>71</v>
      </c>
      <c r="G98" s="39">
        <v>0</v>
      </c>
      <c r="H98" s="39">
        <v>0</v>
      </c>
      <c r="I98" s="40" t="s">
        <v>158</v>
      </c>
      <c r="J98" s="41">
        <v>34.6542</v>
      </c>
      <c r="K98" s="42" t="s">
        <v>159</v>
      </c>
      <c r="L98" s="39" t="s">
        <v>20</v>
      </c>
      <c r="M98" s="38">
        <f t="shared" si="1"/>
        <v>71</v>
      </c>
    </row>
    <row r="99" customHeight="1" spans="1:13">
      <c r="A99" s="39">
        <v>98</v>
      </c>
      <c r="B99" s="39">
        <v>1</v>
      </c>
      <c r="C99" s="39">
        <v>1</v>
      </c>
      <c r="D99" s="40" t="s">
        <v>160</v>
      </c>
      <c r="E99" s="40" t="s">
        <v>13</v>
      </c>
      <c r="F99" s="39">
        <v>23</v>
      </c>
      <c r="G99" s="39">
        <v>0</v>
      </c>
      <c r="H99" s="39">
        <v>1</v>
      </c>
      <c r="I99" s="40" t="s">
        <v>161</v>
      </c>
      <c r="J99" s="41">
        <v>63.3583</v>
      </c>
      <c r="K99" s="42" t="s">
        <v>162</v>
      </c>
      <c r="L99" s="39" t="s">
        <v>20</v>
      </c>
      <c r="M99" s="38">
        <f t="shared" si="1"/>
        <v>23</v>
      </c>
    </row>
    <row r="100" customHeight="1" spans="1:13">
      <c r="A100" s="39">
        <v>99</v>
      </c>
      <c r="B100" s="39">
        <v>1</v>
      </c>
      <c r="C100" s="39">
        <v>2</v>
      </c>
      <c r="D100" s="40" t="s">
        <v>163</v>
      </c>
      <c r="E100" s="40" t="s">
        <v>17</v>
      </c>
      <c r="F100" s="39">
        <v>34</v>
      </c>
      <c r="G100" s="39">
        <v>0</v>
      </c>
      <c r="H100" s="39">
        <v>1</v>
      </c>
      <c r="I100" s="40">
        <v>231919</v>
      </c>
      <c r="J100" s="41">
        <v>23</v>
      </c>
      <c r="L100" s="39" t="s">
        <v>15</v>
      </c>
      <c r="M100" s="38">
        <f t="shared" si="1"/>
        <v>34</v>
      </c>
    </row>
    <row r="101" customHeight="1" spans="1:13">
      <c r="A101" s="39">
        <v>100</v>
      </c>
      <c r="B101" s="39">
        <v>0</v>
      </c>
      <c r="C101" s="39">
        <v>2</v>
      </c>
      <c r="D101" s="40" t="s">
        <v>164</v>
      </c>
      <c r="E101" s="40" t="s">
        <v>13</v>
      </c>
      <c r="F101" s="39">
        <v>34</v>
      </c>
      <c r="G101" s="39">
        <v>1</v>
      </c>
      <c r="H101" s="39">
        <v>0</v>
      </c>
      <c r="I101" s="40">
        <v>244367</v>
      </c>
      <c r="J101" s="41">
        <v>26</v>
      </c>
      <c r="L101" s="39" t="s">
        <v>15</v>
      </c>
      <c r="M101" s="38">
        <f t="shared" si="1"/>
        <v>34</v>
      </c>
    </row>
    <row r="102" customHeight="1" spans="1:13">
      <c r="A102" s="39">
        <v>101</v>
      </c>
      <c r="B102" s="39">
        <v>0</v>
      </c>
      <c r="C102" s="39">
        <v>3</v>
      </c>
      <c r="D102" s="40" t="s">
        <v>165</v>
      </c>
      <c r="E102" s="40" t="s">
        <v>17</v>
      </c>
      <c r="F102" s="39">
        <v>28</v>
      </c>
      <c r="G102" s="39">
        <v>0</v>
      </c>
      <c r="H102" s="39">
        <v>0</v>
      </c>
      <c r="I102" s="40">
        <v>349245</v>
      </c>
      <c r="J102" s="41">
        <v>7.8958</v>
      </c>
      <c r="L102" s="39" t="s">
        <v>15</v>
      </c>
      <c r="M102" s="38">
        <f t="shared" si="1"/>
        <v>28</v>
      </c>
    </row>
    <row r="103" customHeight="1" spans="1:13">
      <c r="A103" s="39">
        <v>102</v>
      </c>
      <c r="B103" s="39">
        <v>0</v>
      </c>
      <c r="C103" s="39">
        <v>3</v>
      </c>
      <c r="D103" s="40" t="s">
        <v>166</v>
      </c>
      <c r="E103" s="40" t="s">
        <v>13</v>
      </c>
      <c r="G103" s="39">
        <v>0</v>
      </c>
      <c r="H103" s="39">
        <v>0</v>
      </c>
      <c r="I103" s="40">
        <v>349215</v>
      </c>
      <c r="J103" s="41">
        <v>7.8958</v>
      </c>
      <c r="L103" s="39" t="s">
        <v>15</v>
      </c>
      <c r="M103" s="38">
        <f t="shared" si="1"/>
        <v>29.6991176470588</v>
      </c>
    </row>
    <row r="104" customHeight="1" spans="1:13">
      <c r="A104" s="39">
        <v>103</v>
      </c>
      <c r="B104" s="39">
        <v>0</v>
      </c>
      <c r="C104" s="39">
        <v>1</v>
      </c>
      <c r="D104" s="40" t="s">
        <v>167</v>
      </c>
      <c r="E104" s="40" t="s">
        <v>13</v>
      </c>
      <c r="F104" s="39">
        <v>21</v>
      </c>
      <c r="G104" s="39">
        <v>0</v>
      </c>
      <c r="H104" s="39">
        <v>1</v>
      </c>
      <c r="I104" s="40">
        <v>35281</v>
      </c>
      <c r="J104" s="41">
        <v>77.2875</v>
      </c>
      <c r="K104" s="42" t="s">
        <v>168</v>
      </c>
      <c r="L104" s="39" t="s">
        <v>15</v>
      </c>
      <c r="M104" s="38">
        <f t="shared" si="1"/>
        <v>21</v>
      </c>
    </row>
    <row r="105" customHeight="1" spans="1:13">
      <c r="A105" s="39">
        <v>104</v>
      </c>
      <c r="B105" s="39">
        <v>0</v>
      </c>
      <c r="C105" s="39">
        <v>3</v>
      </c>
      <c r="D105" s="40" t="s">
        <v>169</v>
      </c>
      <c r="E105" s="40" t="s">
        <v>13</v>
      </c>
      <c r="F105" s="39">
        <v>33</v>
      </c>
      <c r="G105" s="39">
        <v>0</v>
      </c>
      <c r="H105" s="39">
        <v>0</v>
      </c>
      <c r="I105" s="40">
        <v>7540</v>
      </c>
      <c r="J105" s="41">
        <v>8.6542</v>
      </c>
      <c r="L105" s="39" t="s">
        <v>15</v>
      </c>
      <c r="M105" s="38">
        <f t="shared" si="1"/>
        <v>33</v>
      </c>
    </row>
    <row r="106" customHeight="1" spans="1:13">
      <c r="A106" s="39">
        <v>105</v>
      </c>
      <c r="B106" s="39">
        <v>0</v>
      </c>
      <c r="C106" s="39">
        <v>3</v>
      </c>
      <c r="D106" s="40" t="s">
        <v>170</v>
      </c>
      <c r="E106" s="40" t="s">
        <v>13</v>
      </c>
      <c r="F106" s="39">
        <v>37</v>
      </c>
      <c r="G106" s="39">
        <v>2</v>
      </c>
      <c r="H106" s="39">
        <v>0</v>
      </c>
      <c r="I106" s="40">
        <v>3101276</v>
      </c>
      <c r="J106" s="41">
        <v>7.925</v>
      </c>
      <c r="L106" s="39" t="s">
        <v>15</v>
      </c>
      <c r="M106" s="38">
        <f t="shared" si="1"/>
        <v>37</v>
      </c>
    </row>
    <row r="107" customHeight="1" spans="1:13">
      <c r="A107" s="39">
        <v>106</v>
      </c>
      <c r="B107" s="39">
        <v>0</v>
      </c>
      <c r="C107" s="39">
        <v>3</v>
      </c>
      <c r="D107" s="40" t="s">
        <v>171</v>
      </c>
      <c r="E107" s="40" t="s">
        <v>13</v>
      </c>
      <c r="F107" s="39">
        <v>28</v>
      </c>
      <c r="G107" s="39">
        <v>0</v>
      </c>
      <c r="H107" s="39">
        <v>0</v>
      </c>
      <c r="I107" s="40">
        <v>349207</v>
      </c>
      <c r="J107" s="41">
        <v>7.8958</v>
      </c>
      <c r="L107" s="39" t="s">
        <v>15</v>
      </c>
      <c r="M107" s="38">
        <f t="shared" si="1"/>
        <v>28</v>
      </c>
    </row>
    <row r="108" customHeight="1" spans="1:13">
      <c r="A108" s="39">
        <v>107</v>
      </c>
      <c r="B108" s="39">
        <v>1</v>
      </c>
      <c r="C108" s="39">
        <v>3</v>
      </c>
      <c r="D108" s="40" t="s">
        <v>172</v>
      </c>
      <c r="E108" s="40" t="s">
        <v>17</v>
      </c>
      <c r="F108" s="39">
        <v>21</v>
      </c>
      <c r="G108" s="39">
        <v>0</v>
      </c>
      <c r="H108" s="39">
        <v>0</v>
      </c>
      <c r="I108" s="40">
        <v>343120</v>
      </c>
      <c r="J108" s="41">
        <v>7.65</v>
      </c>
      <c r="L108" s="39" t="s">
        <v>15</v>
      </c>
      <c r="M108" s="38">
        <f t="shared" si="1"/>
        <v>21</v>
      </c>
    </row>
    <row r="109" customHeight="1" spans="1:13">
      <c r="A109" s="39">
        <v>108</v>
      </c>
      <c r="B109" s="39">
        <v>1</v>
      </c>
      <c r="C109" s="39">
        <v>3</v>
      </c>
      <c r="D109" s="40" t="s">
        <v>173</v>
      </c>
      <c r="E109" s="40" t="s">
        <v>13</v>
      </c>
      <c r="G109" s="39">
        <v>0</v>
      </c>
      <c r="H109" s="39">
        <v>0</v>
      </c>
      <c r="I109" s="40">
        <v>312991</v>
      </c>
      <c r="J109" s="41">
        <v>7.775</v>
      </c>
      <c r="L109" s="39" t="s">
        <v>15</v>
      </c>
      <c r="M109" s="38">
        <f t="shared" si="1"/>
        <v>29.6991176470588</v>
      </c>
    </row>
    <row r="110" customHeight="1" spans="1:13">
      <c r="A110" s="39">
        <v>109</v>
      </c>
      <c r="B110" s="39">
        <v>0</v>
      </c>
      <c r="C110" s="39">
        <v>3</v>
      </c>
      <c r="D110" s="40" t="s">
        <v>174</v>
      </c>
      <c r="E110" s="40" t="s">
        <v>13</v>
      </c>
      <c r="F110" s="39">
        <v>38</v>
      </c>
      <c r="G110" s="39">
        <v>0</v>
      </c>
      <c r="H110" s="39">
        <v>0</v>
      </c>
      <c r="I110" s="40">
        <v>349249</v>
      </c>
      <c r="J110" s="41">
        <v>7.8958</v>
      </c>
      <c r="L110" s="39" t="s">
        <v>15</v>
      </c>
      <c r="M110" s="38">
        <f t="shared" si="1"/>
        <v>38</v>
      </c>
    </row>
    <row r="111" customHeight="1" spans="1:13">
      <c r="A111" s="39">
        <v>110</v>
      </c>
      <c r="B111" s="39">
        <v>1</v>
      </c>
      <c r="C111" s="39">
        <v>3</v>
      </c>
      <c r="D111" s="40" t="s">
        <v>175</v>
      </c>
      <c r="E111" s="40" t="s">
        <v>17</v>
      </c>
      <c r="G111" s="39">
        <v>1</v>
      </c>
      <c r="H111" s="39">
        <v>0</v>
      </c>
      <c r="I111" s="40">
        <v>371110</v>
      </c>
      <c r="J111" s="41">
        <v>24.15</v>
      </c>
      <c r="L111" s="39" t="s">
        <v>27</v>
      </c>
      <c r="M111" s="38">
        <f t="shared" si="1"/>
        <v>29.6991176470588</v>
      </c>
    </row>
    <row r="112" customHeight="1" spans="1:13">
      <c r="A112" s="39">
        <v>111</v>
      </c>
      <c r="B112" s="39">
        <v>0</v>
      </c>
      <c r="C112" s="39">
        <v>1</v>
      </c>
      <c r="D112" s="40" t="s">
        <v>176</v>
      </c>
      <c r="E112" s="40" t="s">
        <v>13</v>
      </c>
      <c r="F112" s="39">
        <v>47</v>
      </c>
      <c r="G112" s="39">
        <v>0</v>
      </c>
      <c r="H112" s="39">
        <v>0</v>
      </c>
      <c r="I112" s="40">
        <v>110465</v>
      </c>
      <c r="J112" s="41">
        <v>52</v>
      </c>
      <c r="K112" s="42" t="s">
        <v>177</v>
      </c>
      <c r="L112" s="39" t="s">
        <v>15</v>
      </c>
      <c r="M112" s="38">
        <f t="shared" si="1"/>
        <v>47</v>
      </c>
    </row>
    <row r="113" customHeight="1" spans="1:13">
      <c r="A113" s="39">
        <v>112</v>
      </c>
      <c r="B113" s="39">
        <v>0</v>
      </c>
      <c r="C113" s="39">
        <v>3</v>
      </c>
      <c r="D113" s="40" t="s">
        <v>178</v>
      </c>
      <c r="E113" s="40" t="s">
        <v>17</v>
      </c>
      <c r="F113" s="39">
        <v>14.5</v>
      </c>
      <c r="G113" s="39">
        <v>1</v>
      </c>
      <c r="H113" s="39">
        <v>0</v>
      </c>
      <c r="I113" s="40">
        <v>2665</v>
      </c>
      <c r="J113" s="41">
        <v>14.4542</v>
      </c>
      <c r="L113" s="39" t="s">
        <v>20</v>
      </c>
      <c r="M113" s="38">
        <f t="shared" si="1"/>
        <v>14.5</v>
      </c>
    </row>
    <row r="114" customHeight="1" spans="1:13">
      <c r="A114" s="39">
        <v>113</v>
      </c>
      <c r="B114" s="39">
        <v>0</v>
      </c>
      <c r="C114" s="39">
        <v>3</v>
      </c>
      <c r="D114" s="40" t="s">
        <v>179</v>
      </c>
      <c r="E114" s="40" t="s">
        <v>13</v>
      </c>
      <c r="F114" s="39">
        <v>22</v>
      </c>
      <c r="G114" s="39">
        <v>0</v>
      </c>
      <c r="H114" s="39">
        <v>0</v>
      </c>
      <c r="I114" s="40">
        <v>324669</v>
      </c>
      <c r="J114" s="41">
        <v>8.05</v>
      </c>
      <c r="L114" s="39" t="s">
        <v>15</v>
      </c>
      <c r="M114" s="38">
        <f t="shared" si="1"/>
        <v>22</v>
      </c>
    </row>
    <row r="115" customHeight="1" spans="1:13">
      <c r="A115" s="39">
        <v>114</v>
      </c>
      <c r="B115" s="39">
        <v>0</v>
      </c>
      <c r="C115" s="39">
        <v>3</v>
      </c>
      <c r="D115" s="40" t="s">
        <v>180</v>
      </c>
      <c r="E115" s="40" t="s">
        <v>17</v>
      </c>
      <c r="F115" s="39">
        <v>20</v>
      </c>
      <c r="G115" s="39">
        <v>1</v>
      </c>
      <c r="H115" s="39">
        <v>0</v>
      </c>
      <c r="I115" s="40">
        <v>4136</v>
      </c>
      <c r="J115" s="41">
        <v>9.825</v>
      </c>
      <c r="L115" s="39" t="s">
        <v>15</v>
      </c>
      <c r="M115" s="38">
        <f t="shared" si="1"/>
        <v>20</v>
      </c>
    </row>
    <row r="116" customHeight="1" spans="1:13">
      <c r="A116" s="39">
        <v>115</v>
      </c>
      <c r="B116" s="39">
        <v>0</v>
      </c>
      <c r="C116" s="39">
        <v>3</v>
      </c>
      <c r="D116" s="40" t="s">
        <v>181</v>
      </c>
      <c r="E116" s="40" t="s">
        <v>17</v>
      </c>
      <c r="F116" s="39">
        <v>17</v>
      </c>
      <c r="G116" s="39">
        <v>0</v>
      </c>
      <c r="H116" s="39">
        <v>0</v>
      </c>
      <c r="I116" s="40">
        <v>2627</v>
      </c>
      <c r="J116" s="41">
        <v>14.4583</v>
      </c>
      <c r="L116" s="39" t="s">
        <v>20</v>
      </c>
      <c r="M116" s="38">
        <f t="shared" si="1"/>
        <v>17</v>
      </c>
    </row>
    <row r="117" customHeight="1" spans="1:13">
      <c r="A117" s="39">
        <v>116</v>
      </c>
      <c r="B117" s="39">
        <v>0</v>
      </c>
      <c r="C117" s="39">
        <v>3</v>
      </c>
      <c r="D117" s="40" t="s">
        <v>182</v>
      </c>
      <c r="E117" s="40" t="s">
        <v>13</v>
      </c>
      <c r="F117" s="39">
        <v>21</v>
      </c>
      <c r="G117" s="39">
        <v>0</v>
      </c>
      <c r="H117" s="39">
        <v>0</v>
      </c>
      <c r="I117" s="40" t="s">
        <v>183</v>
      </c>
      <c r="J117" s="41">
        <v>7.925</v>
      </c>
      <c r="L117" s="39" t="s">
        <v>15</v>
      </c>
      <c r="M117" s="38">
        <f t="shared" si="1"/>
        <v>21</v>
      </c>
    </row>
    <row r="118" customHeight="1" spans="1:13">
      <c r="A118" s="39">
        <v>117</v>
      </c>
      <c r="B118" s="39">
        <v>0</v>
      </c>
      <c r="C118" s="39">
        <v>3</v>
      </c>
      <c r="D118" s="40" t="s">
        <v>184</v>
      </c>
      <c r="E118" s="40" t="s">
        <v>13</v>
      </c>
      <c r="F118" s="39">
        <v>70.5</v>
      </c>
      <c r="G118" s="39">
        <v>0</v>
      </c>
      <c r="H118" s="39">
        <v>0</v>
      </c>
      <c r="I118" s="40">
        <v>370369</v>
      </c>
      <c r="J118" s="41">
        <v>7.75</v>
      </c>
      <c r="L118" s="39" t="s">
        <v>27</v>
      </c>
      <c r="M118" s="38">
        <f t="shared" si="1"/>
        <v>70.5</v>
      </c>
    </row>
    <row r="119" customHeight="1" spans="1:13">
      <c r="A119" s="39">
        <v>118</v>
      </c>
      <c r="B119" s="39">
        <v>0</v>
      </c>
      <c r="C119" s="39">
        <v>2</v>
      </c>
      <c r="D119" s="40" t="s">
        <v>185</v>
      </c>
      <c r="E119" s="40" t="s">
        <v>13</v>
      </c>
      <c r="F119" s="39">
        <v>29</v>
      </c>
      <c r="G119" s="39">
        <v>1</v>
      </c>
      <c r="H119" s="39">
        <v>0</v>
      </c>
      <c r="I119" s="40">
        <v>11668</v>
      </c>
      <c r="J119" s="41">
        <v>21</v>
      </c>
      <c r="L119" s="39" t="s">
        <v>15</v>
      </c>
      <c r="M119" s="38">
        <f t="shared" si="1"/>
        <v>29</v>
      </c>
    </row>
    <row r="120" customHeight="1" spans="1:13">
      <c r="A120" s="39">
        <v>119</v>
      </c>
      <c r="B120" s="39">
        <v>0</v>
      </c>
      <c r="C120" s="39">
        <v>1</v>
      </c>
      <c r="D120" s="40" t="s">
        <v>186</v>
      </c>
      <c r="E120" s="40" t="s">
        <v>13</v>
      </c>
      <c r="F120" s="39">
        <v>24</v>
      </c>
      <c r="G120" s="39">
        <v>0</v>
      </c>
      <c r="H120" s="39">
        <v>1</v>
      </c>
      <c r="I120" s="40" t="s">
        <v>187</v>
      </c>
      <c r="J120" s="41">
        <v>247.5208</v>
      </c>
      <c r="K120" s="42" t="s">
        <v>188</v>
      </c>
      <c r="L120" s="39" t="s">
        <v>20</v>
      </c>
      <c r="M120" s="38">
        <f t="shared" si="1"/>
        <v>24</v>
      </c>
    </row>
    <row r="121" customHeight="1" spans="1:13">
      <c r="A121" s="39">
        <v>120</v>
      </c>
      <c r="B121" s="39">
        <v>0</v>
      </c>
      <c r="C121" s="39">
        <v>3</v>
      </c>
      <c r="D121" s="40" t="s">
        <v>189</v>
      </c>
      <c r="E121" s="40" t="s">
        <v>17</v>
      </c>
      <c r="F121" s="39">
        <v>2</v>
      </c>
      <c r="G121" s="39">
        <v>4</v>
      </c>
      <c r="H121" s="39">
        <v>2</v>
      </c>
      <c r="I121" s="40">
        <v>347082</v>
      </c>
      <c r="J121" s="41">
        <v>31.275</v>
      </c>
      <c r="L121" s="39" t="s">
        <v>15</v>
      </c>
      <c r="M121" s="38">
        <f t="shared" si="1"/>
        <v>2</v>
      </c>
    </row>
    <row r="122" customHeight="1" spans="1:13">
      <c r="A122" s="39">
        <v>121</v>
      </c>
      <c r="B122" s="39">
        <v>0</v>
      </c>
      <c r="C122" s="39">
        <v>2</v>
      </c>
      <c r="D122" s="40" t="s">
        <v>190</v>
      </c>
      <c r="E122" s="40" t="s">
        <v>13</v>
      </c>
      <c r="F122" s="39">
        <v>21</v>
      </c>
      <c r="G122" s="39">
        <v>2</v>
      </c>
      <c r="H122" s="39">
        <v>0</v>
      </c>
      <c r="I122" s="40" t="s">
        <v>126</v>
      </c>
      <c r="J122" s="41">
        <v>73.5</v>
      </c>
      <c r="L122" s="39" t="s">
        <v>15</v>
      </c>
      <c r="M122" s="38">
        <f t="shared" si="1"/>
        <v>21</v>
      </c>
    </row>
    <row r="123" customHeight="1" spans="1:13">
      <c r="A123" s="39">
        <v>122</v>
      </c>
      <c r="B123" s="39">
        <v>0</v>
      </c>
      <c r="C123" s="39">
        <v>3</v>
      </c>
      <c r="D123" s="40" t="s">
        <v>191</v>
      </c>
      <c r="E123" s="40" t="s">
        <v>13</v>
      </c>
      <c r="G123" s="39">
        <v>0</v>
      </c>
      <c r="H123" s="39">
        <v>0</v>
      </c>
      <c r="I123" s="40" t="s">
        <v>192</v>
      </c>
      <c r="J123" s="41">
        <v>8.05</v>
      </c>
      <c r="L123" s="39" t="s">
        <v>15</v>
      </c>
      <c r="M123" s="38">
        <f t="shared" si="1"/>
        <v>29.6991176470588</v>
      </c>
    </row>
    <row r="124" customHeight="1" spans="1:13">
      <c r="A124" s="39">
        <v>123</v>
      </c>
      <c r="B124" s="39">
        <v>0</v>
      </c>
      <c r="C124" s="39">
        <v>2</v>
      </c>
      <c r="D124" s="40" t="s">
        <v>193</v>
      </c>
      <c r="E124" s="40" t="s">
        <v>13</v>
      </c>
      <c r="F124" s="39">
        <v>32.5</v>
      </c>
      <c r="G124" s="39">
        <v>1</v>
      </c>
      <c r="H124" s="39">
        <v>0</v>
      </c>
      <c r="I124" s="40">
        <v>237736</v>
      </c>
      <c r="J124" s="41">
        <v>30.0708</v>
      </c>
      <c r="L124" s="39" t="s">
        <v>20</v>
      </c>
      <c r="M124" s="38">
        <f t="shared" si="1"/>
        <v>32.5</v>
      </c>
    </row>
    <row r="125" customHeight="1" spans="1:13">
      <c r="A125" s="39">
        <v>124</v>
      </c>
      <c r="B125" s="39">
        <v>1</v>
      </c>
      <c r="C125" s="39">
        <v>2</v>
      </c>
      <c r="D125" s="40" t="s">
        <v>194</v>
      </c>
      <c r="E125" s="40" t="s">
        <v>17</v>
      </c>
      <c r="F125" s="39">
        <v>32.5</v>
      </c>
      <c r="G125" s="39">
        <v>0</v>
      </c>
      <c r="H125" s="39">
        <v>0</v>
      </c>
      <c r="I125" s="40">
        <v>27267</v>
      </c>
      <c r="J125" s="41">
        <v>13</v>
      </c>
      <c r="K125" s="42" t="s">
        <v>195</v>
      </c>
      <c r="L125" s="39" t="s">
        <v>15</v>
      </c>
      <c r="M125" s="38">
        <f t="shared" si="1"/>
        <v>32.5</v>
      </c>
    </row>
    <row r="126" customHeight="1" spans="1:13">
      <c r="A126" s="39">
        <v>125</v>
      </c>
      <c r="B126" s="39">
        <v>0</v>
      </c>
      <c r="C126" s="39">
        <v>1</v>
      </c>
      <c r="D126" s="40" t="s">
        <v>196</v>
      </c>
      <c r="E126" s="40" t="s">
        <v>13</v>
      </c>
      <c r="F126" s="39">
        <v>54</v>
      </c>
      <c r="G126" s="39">
        <v>0</v>
      </c>
      <c r="H126" s="39">
        <v>1</v>
      </c>
      <c r="I126" s="40">
        <v>35281</v>
      </c>
      <c r="J126" s="41">
        <v>77.2875</v>
      </c>
      <c r="K126" s="42" t="s">
        <v>168</v>
      </c>
      <c r="L126" s="39" t="s">
        <v>15</v>
      </c>
      <c r="M126" s="38">
        <f t="shared" si="1"/>
        <v>54</v>
      </c>
    </row>
    <row r="127" customHeight="1" spans="1:13">
      <c r="A127" s="39">
        <v>126</v>
      </c>
      <c r="B127" s="39">
        <v>1</v>
      </c>
      <c r="C127" s="39">
        <v>3</v>
      </c>
      <c r="D127" s="40" t="s">
        <v>197</v>
      </c>
      <c r="E127" s="40" t="s">
        <v>13</v>
      </c>
      <c r="F127" s="39">
        <v>12</v>
      </c>
      <c r="G127" s="39">
        <v>1</v>
      </c>
      <c r="H127" s="39">
        <v>0</v>
      </c>
      <c r="I127" s="40">
        <v>2651</v>
      </c>
      <c r="J127" s="41">
        <v>11.2417</v>
      </c>
      <c r="L127" s="39" t="s">
        <v>20</v>
      </c>
      <c r="M127" s="38">
        <f t="shared" si="1"/>
        <v>12</v>
      </c>
    </row>
    <row r="128" customHeight="1" spans="1:13">
      <c r="A128" s="39">
        <v>127</v>
      </c>
      <c r="B128" s="39">
        <v>0</v>
      </c>
      <c r="C128" s="39">
        <v>3</v>
      </c>
      <c r="D128" s="40" t="s">
        <v>198</v>
      </c>
      <c r="E128" s="40" t="s">
        <v>13</v>
      </c>
      <c r="G128" s="39">
        <v>0</v>
      </c>
      <c r="H128" s="39">
        <v>0</v>
      </c>
      <c r="I128" s="40">
        <v>370372</v>
      </c>
      <c r="J128" s="41">
        <v>7.75</v>
      </c>
      <c r="L128" s="39" t="s">
        <v>27</v>
      </c>
      <c r="M128" s="38">
        <f t="shared" si="1"/>
        <v>29.6991176470588</v>
      </c>
    </row>
    <row r="129" customHeight="1" spans="1:13">
      <c r="A129" s="39">
        <v>128</v>
      </c>
      <c r="B129" s="39">
        <v>1</v>
      </c>
      <c r="C129" s="39">
        <v>3</v>
      </c>
      <c r="D129" s="40" t="s">
        <v>199</v>
      </c>
      <c r="E129" s="40" t="s">
        <v>13</v>
      </c>
      <c r="F129" s="39">
        <v>24</v>
      </c>
      <c r="G129" s="39">
        <v>0</v>
      </c>
      <c r="H129" s="39">
        <v>0</v>
      </c>
      <c r="I129" s="40" t="s">
        <v>200</v>
      </c>
      <c r="J129" s="41">
        <v>7.1417</v>
      </c>
      <c r="L129" s="39" t="s">
        <v>15</v>
      </c>
      <c r="M129" s="38">
        <f t="shared" si="1"/>
        <v>24</v>
      </c>
    </row>
    <row r="130" customHeight="1" spans="1:13">
      <c r="A130" s="39">
        <v>129</v>
      </c>
      <c r="B130" s="39">
        <v>1</v>
      </c>
      <c r="C130" s="39">
        <v>3</v>
      </c>
      <c r="D130" s="40" t="s">
        <v>201</v>
      </c>
      <c r="E130" s="40" t="s">
        <v>17</v>
      </c>
      <c r="G130" s="39">
        <v>1</v>
      </c>
      <c r="H130" s="39">
        <v>1</v>
      </c>
      <c r="I130" s="40">
        <v>2668</v>
      </c>
      <c r="J130" s="41">
        <v>22.3583</v>
      </c>
      <c r="K130" s="42" t="s">
        <v>202</v>
      </c>
      <c r="L130" s="39" t="s">
        <v>20</v>
      </c>
      <c r="M130" s="38">
        <f t="shared" ref="M130:M193" si="2">IF(F130="",AVERAGE($F$2:$F$892),F130)</f>
        <v>29.6991176470588</v>
      </c>
    </row>
    <row r="131" customHeight="1" spans="1:13">
      <c r="A131" s="39">
        <v>130</v>
      </c>
      <c r="B131" s="39">
        <v>0</v>
      </c>
      <c r="C131" s="39">
        <v>3</v>
      </c>
      <c r="D131" s="40" t="s">
        <v>203</v>
      </c>
      <c r="E131" s="40" t="s">
        <v>13</v>
      </c>
      <c r="F131" s="39">
        <v>45</v>
      </c>
      <c r="G131" s="39">
        <v>0</v>
      </c>
      <c r="H131" s="39">
        <v>0</v>
      </c>
      <c r="I131" s="40">
        <v>347061</v>
      </c>
      <c r="J131" s="41">
        <v>6.975</v>
      </c>
      <c r="L131" s="39" t="s">
        <v>15</v>
      </c>
      <c r="M131" s="38">
        <f t="shared" si="2"/>
        <v>45</v>
      </c>
    </row>
    <row r="132" customHeight="1" spans="1:13">
      <c r="A132" s="39">
        <v>131</v>
      </c>
      <c r="B132" s="39">
        <v>0</v>
      </c>
      <c r="C132" s="39">
        <v>3</v>
      </c>
      <c r="D132" s="40" t="s">
        <v>204</v>
      </c>
      <c r="E132" s="40" t="s">
        <v>13</v>
      </c>
      <c r="F132" s="39">
        <v>33</v>
      </c>
      <c r="G132" s="39">
        <v>0</v>
      </c>
      <c r="H132" s="39">
        <v>0</v>
      </c>
      <c r="I132" s="40">
        <v>349241</v>
      </c>
      <c r="J132" s="41">
        <v>7.8958</v>
      </c>
      <c r="L132" s="39" t="s">
        <v>20</v>
      </c>
      <c r="M132" s="38">
        <f t="shared" si="2"/>
        <v>33</v>
      </c>
    </row>
    <row r="133" customHeight="1" spans="1:13">
      <c r="A133" s="39">
        <v>132</v>
      </c>
      <c r="B133" s="39">
        <v>0</v>
      </c>
      <c r="C133" s="39">
        <v>3</v>
      </c>
      <c r="D133" s="40" t="s">
        <v>205</v>
      </c>
      <c r="E133" s="40" t="s">
        <v>13</v>
      </c>
      <c r="F133" s="39">
        <v>20</v>
      </c>
      <c r="G133" s="39">
        <v>0</v>
      </c>
      <c r="H133" s="39">
        <v>0</v>
      </c>
      <c r="I133" s="40" t="s">
        <v>206</v>
      </c>
      <c r="J133" s="41">
        <v>7.05</v>
      </c>
      <c r="L133" s="39" t="s">
        <v>15</v>
      </c>
      <c r="M133" s="38">
        <f t="shared" si="2"/>
        <v>20</v>
      </c>
    </row>
    <row r="134" customHeight="1" spans="1:13">
      <c r="A134" s="39">
        <v>133</v>
      </c>
      <c r="B134" s="39">
        <v>0</v>
      </c>
      <c r="C134" s="39">
        <v>3</v>
      </c>
      <c r="D134" s="40" t="s">
        <v>207</v>
      </c>
      <c r="E134" s="40" t="s">
        <v>17</v>
      </c>
      <c r="F134" s="39">
        <v>47</v>
      </c>
      <c r="G134" s="39">
        <v>1</v>
      </c>
      <c r="H134" s="39">
        <v>0</v>
      </c>
      <c r="I134" s="40" t="s">
        <v>208</v>
      </c>
      <c r="J134" s="41">
        <v>14.5</v>
      </c>
      <c r="L134" s="39" t="s">
        <v>15</v>
      </c>
      <c r="M134" s="38">
        <f t="shared" si="2"/>
        <v>47</v>
      </c>
    </row>
    <row r="135" customHeight="1" spans="1:13">
      <c r="A135" s="39">
        <v>134</v>
      </c>
      <c r="B135" s="39">
        <v>1</v>
      </c>
      <c r="C135" s="39">
        <v>2</v>
      </c>
      <c r="D135" s="40" t="s">
        <v>209</v>
      </c>
      <c r="E135" s="40" t="s">
        <v>17</v>
      </c>
      <c r="F135" s="39">
        <v>29</v>
      </c>
      <c r="G135" s="39">
        <v>1</v>
      </c>
      <c r="H135" s="39">
        <v>0</v>
      </c>
      <c r="I135" s="40">
        <v>228414</v>
      </c>
      <c r="J135" s="41">
        <v>26</v>
      </c>
      <c r="L135" s="39" t="s">
        <v>15</v>
      </c>
      <c r="M135" s="38">
        <f t="shared" si="2"/>
        <v>29</v>
      </c>
    </row>
    <row r="136" customHeight="1" spans="1:13">
      <c r="A136" s="39">
        <v>135</v>
      </c>
      <c r="B136" s="39">
        <v>0</v>
      </c>
      <c r="C136" s="39">
        <v>2</v>
      </c>
      <c r="D136" s="40" t="s">
        <v>210</v>
      </c>
      <c r="E136" s="40" t="s">
        <v>13</v>
      </c>
      <c r="F136" s="39">
        <v>25</v>
      </c>
      <c r="G136" s="39">
        <v>0</v>
      </c>
      <c r="H136" s="39">
        <v>0</v>
      </c>
      <c r="I136" s="40" t="s">
        <v>211</v>
      </c>
      <c r="J136" s="41">
        <v>13</v>
      </c>
      <c r="L136" s="39" t="s">
        <v>15</v>
      </c>
      <c r="M136" s="38">
        <f t="shared" si="2"/>
        <v>25</v>
      </c>
    </row>
    <row r="137" customHeight="1" spans="1:13">
      <c r="A137" s="39">
        <v>136</v>
      </c>
      <c r="B137" s="39">
        <v>0</v>
      </c>
      <c r="C137" s="39">
        <v>2</v>
      </c>
      <c r="D137" s="40" t="s">
        <v>212</v>
      </c>
      <c r="E137" s="40" t="s">
        <v>13</v>
      </c>
      <c r="F137" s="39">
        <v>23</v>
      </c>
      <c r="G137" s="39">
        <v>0</v>
      </c>
      <c r="H137" s="39">
        <v>0</v>
      </c>
      <c r="I137" s="40" t="s">
        <v>213</v>
      </c>
      <c r="J137" s="41">
        <v>15.0458</v>
      </c>
      <c r="L137" s="39" t="s">
        <v>20</v>
      </c>
      <c r="M137" s="38">
        <f t="shared" si="2"/>
        <v>23</v>
      </c>
    </row>
    <row r="138" customHeight="1" spans="1:13">
      <c r="A138" s="39">
        <v>137</v>
      </c>
      <c r="B138" s="39">
        <v>1</v>
      </c>
      <c r="C138" s="39">
        <v>1</v>
      </c>
      <c r="D138" s="40" t="s">
        <v>214</v>
      </c>
      <c r="E138" s="40" t="s">
        <v>17</v>
      </c>
      <c r="F138" s="39">
        <v>19</v>
      </c>
      <c r="G138" s="39">
        <v>0</v>
      </c>
      <c r="H138" s="39">
        <v>2</v>
      </c>
      <c r="I138" s="40">
        <v>11752</v>
      </c>
      <c r="J138" s="41">
        <v>26.2833</v>
      </c>
      <c r="K138" s="42" t="s">
        <v>215</v>
      </c>
      <c r="L138" s="39" t="s">
        <v>15</v>
      </c>
      <c r="M138" s="38">
        <f t="shared" si="2"/>
        <v>19</v>
      </c>
    </row>
    <row r="139" customHeight="1" spans="1:13">
      <c r="A139" s="39">
        <v>138</v>
      </c>
      <c r="B139" s="39">
        <v>0</v>
      </c>
      <c r="C139" s="39">
        <v>1</v>
      </c>
      <c r="D139" s="40" t="s">
        <v>216</v>
      </c>
      <c r="E139" s="40" t="s">
        <v>13</v>
      </c>
      <c r="F139" s="39">
        <v>37</v>
      </c>
      <c r="G139" s="39">
        <v>1</v>
      </c>
      <c r="H139" s="39">
        <v>0</v>
      </c>
      <c r="I139" s="40">
        <v>113803</v>
      </c>
      <c r="J139" s="41">
        <v>53.1</v>
      </c>
      <c r="K139" s="42" t="s">
        <v>24</v>
      </c>
      <c r="L139" s="39" t="s">
        <v>15</v>
      </c>
      <c r="M139" s="38">
        <f t="shared" si="2"/>
        <v>37</v>
      </c>
    </row>
    <row r="140" customHeight="1" spans="1:13">
      <c r="A140" s="39">
        <v>139</v>
      </c>
      <c r="B140" s="39">
        <v>0</v>
      </c>
      <c r="C140" s="39">
        <v>3</v>
      </c>
      <c r="D140" s="40" t="s">
        <v>217</v>
      </c>
      <c r="E140" s="40" t="s">
        <v>13</v>
      </c>
      <c r="F140" s="39">
        <v>16</v>
      </c>
      <c r="G140" s="39">
        <v>0</v>
      </c>
      <c r="H140" s="39">
        <v>0</v>
      </c>
      <c r="I140" s="40">
        <v>7534</v>
      </c>
      <c r="J140" s="41">
        <v>9.2167</v>
      </c>
      <c r="L140" s="39" t="s">
        <v>15</v>
      </c>
      <c r="M140" s="38">
        <f t="shared" si="2"/>
        <v>16</v>
      </c>
    </row>
    <row r="141" customHeight="1" spans="1:13">
      <c r="A141" s="39">
        <v>140</v>
      </c>
      <c r="B141" s="39">
        <v>0</v>
      </c>
      <c r="C141" s="39">
        <v>1</v>
      </c>
      <c r="D141" s="40" t="s">
        <v>218</v>
      </c>
      <c r="E141" s="40" t="s">
        <v>13</v>
      </c>
      <c r="F141" s="39">
        <v>24</v>
      </c>
      <c r="G141" s="39">
        <v>0</v>
      </c>
      <c r="H141" s="39">
        <v>0</v>
      </c>
      <c r="I141" s="40" t="s">
        <v>219</v>
      </c>
      <c r="J141" s="41">
        <v>79.2</v>
      </c>
      <c r="K141" s="42" t="s">
        <v>220</v>
      </c>
      <c r="L141" s="39" t="s">
        <v>20</v>
      </c>
      <c r="M141" s="38">
        <f t="shared" si="2"/>
        <v>24</v>
      </c>
    </row>
    <row r="142" customHeight="1" spans="1:13">
      <c r="A142" s="39">
        <v>141</v>
      </c>
      <c r="B142" s="39">
        <v>0</v>
      </c>
      <c r="C142" s="39">
        <v>3</v>
      </c>
      <c r="D142" s="40" t="s">
        <v>221</v>
      </c>
      <c r="E142" s="40" t="s">
        <v>17</v>
      </c>
      <c r="G142" s="39">
        <v>0</v>
      </c>
      <c r="H142" s="39">
        <v>2</v>
      </c>
      <c r="I142" s="40">
        <v>2678</v>
      </c>
      <c r="J142" s="41">
        <v>15.2458</v>
      </c>
      <c r="L142" s="39" t="s">
        <v>20</v>
      </c>
      <c r="M142" s="38">
        <f t="shared" si="2"/>
        <v>29.6991176470588</v>
      </c>
    </row>
    <row r="143" customHeight="1" spans="1:13">
      <c r="A143" s="39">
        <v>142</v>
      </c>
      <c r="B143" s="39">
        <v>1</v>
      </c>
      <c r="C143" s="39">
        <v>3</v>
      </c>
      <c r="D143" s="40" t="s">
        <v>222</v>
      </c>
      <c r="E143" s="40" t="s">
        <v>17</v>
      </c>
      <c r="F143" s="39">
        <v>22</v>
      </c>
      <c r="G143" s="39">
        <v>0</v>
      </c>
      <c r="H143" s="39">
        <v>0</v>
      </c>
      <c r="I143" s="40">
        <v>347081</v>
      </c>
      <c r="J143" s="41">
        <v>7.75</v>
      </c>
      <c r="L143" s="39" t="s">
        <v>15</v>
      </c>
      <c r="M143" s="38">
        <f t="shared" si="2"/>
        <v>22</v>
      </c>
    </row>
    <row r="144" customHeight="1" spans="1:13">
      <c r="A144" s="39">
        <v>143</v>
      </c>
      <c r="B144" s="39">
        <v>1</v>
      </c>
      <c r="C144" s="39">
        <v>3</v>
      </c>
      <c r="D144" s="40" t="s">
        <v>223</v>
      </c>
      <c r="E144" s="40" t="s">
        <v>17</v>
      </c>
      <c r="F144" s="39">
        <v>24</v>
      </c>
      <c r="G144" s="39">
        <v>1</v>
      </c>
      <c r="H144" s="39">
        <v>0</v>
      </c>
      <c r="I144" s="40" t="s">
        <v>224</v>
      </c>
      <c r="J144" s="41">
        <v>15.85</v>
      </c>
      <c r="L144" s="39" t="s">
        <v>15</v>
      </c>
      <c r="M144" s="38">
        <f t="shared" si="2"/>
        <v>24</v>
      </c>
    </row>
    <row r="145" customHeight="1" spans="1:13">
      <c r="A145" s="39">
        <v>144</v>
      </c>
      <c r="B145" s="39">
        <v>0</v>
      </c>
      <c r="C145" s="39">
        <v>3</v>
      </c>
      <c r="D145" s="40" t="s">
        <v>225</v>
      </c>
      <c r="E145" s="40" t="s">
        <v>13</v>
      </c>
      <c r="F145" s="39">
        <v>19</v>
      </c>
      <c r="G145" s="39">
        <v>0</v>
      </c>
      <c r="H145" s="39">
        <v>0</v>
      </c>
      <c r="I145" s="40">
        <v>365222</v>
      </c>
      <c r="J145" s="41">
        <v>6.75</v>
      </c>
      <c r="L145" s="39" t="s">
        <v>27</v>
      </c>
      <c r="M145" s="38">
        <f t="shared" si="2"/>
        <v>19</v>
      </c>
    </row>
    <row r="146" customHeight="1" spans="1:13">
      <c r="A146" s="39">
        <v>145</v>
      </c>
      <c r="B146" s="39">
        <v>0</v>
      </c>
      <c r="C146" s="39">
        <v>2</v>
      </c>
      <c r="D146" s="40" t="s">
        <v>226</v>
      </c>
      <c r="E146" s="40" t="s">
        <v>13</v>
      </c>
      <c r="F146" s="39">
        <v>18</v>
      </c>
      <c r="G146" s="39">
        <v>0</v>
      </c>
      <c r="H146" s="39">
        <v>0</v>
      </c>
      <c r="I146" s="40">
        <v>231945</v>
      </c>
      <c r="J146" s="41">
        <v>11.5</v>
      </c>
      <c r="L146" s="39" t="s">
        <v>15</v>
      </c>
      <c r="M146" s="38">
        <f t="shared" si="2"/>
        <v>18</v>
      </c>
    </row>
    <row r="147" customHeight="1" spans="1:13">
      <c r="A147" s="39">
        <v>146</v>
      </c>
      <c r="B147" s="39">
        <v>0</v>
      </c>
      <c r="C147" s="39">
        <v>2</v>
      </c>
      <c r="D147" s="40" t="s">
        <v>227</v>
      </c>
      <c r="E147" s="40" t="s">
        <v>13</v>
      </c>
      <c r="F147" s="39">
        <v>19</v>
      </c>
      <c r="G147" s="39">
        <v>1</v>
      </c>
      <c r="H147" s="39">
        <v>1</v>
      </c>
      <c r="I147" s="40" t="s">
        <v>228</v>
      </c>
      <c r="J147" s="41">
        <v>36.75</v>
      </c>
      <c r="L147" s="39" t="s">
        <v>15</v>
      </c>
      <c r="M147" s="38">
        <f t="shared" si="2"/>
        <v>19</v>
      </c>
    </row>
    <row r="148" customHeight="1" spans="1:13">
      <c r="A148" s="39">
        <v>147</v>
      </c>
      <c r="B148" s="39">
        <v>1</v>
      </c>
      <c r="C148" s="39">
        <v>3</v>
      </c>
      <c r="D148" s="40" t="s">
        <v>229</v>
      </c>
      <c r="E148" s="40" t="s">
        <v>13</v>
      </c>
      <c r="F148" s="39">
        <v>27</v>
      </c>
      <c r="G148" s="39">
        <v>0</v>
      </c>
      <c r="H148" s="39">
        <v>0</v>
      </c>
      <c r="I148" s="40">
        <v>350043</v>
      </c>
      <c r="J148" s="41">
        <v>7.7958</v>
      </c>
      <c r="L148" s="39" t="s">
        <v>15</v>
      </c>
      <c r="M148" s="38">
        <f t="shared" si="2"/>
        <v>27</v>
      </c>
    </row>
    <row r="149" customHeight="1" spans="1:13">
      <c r="A149" s="39">
        <v>148</v>
      </c>
      <c r="B149" s="39">
        <v>0</v>
      </c>
      <c r="C149" s="39">
        <v>3</v>
      </c>
      <c r="D149" s="40" t="s">
        <v>230</v>
      </c>
      <c r="E149" s="40" t="s">
        <v>17</v>
      </c>
      <c r="F149" s="39">
        <v>9</v>
      </c>
      <c r="G149" s="39">
        <v>2</v>
      </c>
      <c r="H149" s="39">
        <v>2</v>
      </c>
      <c r="I149" s="40" t="s">
        <v>143</v>
      </c>
      <c r="J149" s="41">
        <v>34.375</v>
      </c>
      <c r="L149" s="39" t="s">
        <v>15</v>
      </c>
      <c r="M149" s="38">
        <f t="shared" si="2"/>
        <v>9</v>
      </c>
    </row>
    <row r="150" customHeight="1" spans="1:13">
      <c r="A150" s="39">
        <v>149</v>
      </c>
      <c r="B150" s="39">
        <v>0</v>
      </c>
      <c r="C150" s="39">
        <v>2</v>
      </c>
      <c r="D150" s="40" t="s">
        <v>231</v>
      </c>
      <c r="E150" s="40" t="s">
        <v>13</v>
      </c>
      <c r="F150" s="39">
        <v>36.5</v>
      </c>
      <c r="G150" s="39">
        <v>0</v>
      </c>
      <c r="H150" s="39">
        <v>2</v>
      </c>
      <c r="I150" s="40">
        <v>230080</v>
      </c>
      <c r="J150" s="41">
        <v>26</v>
      </c>
      <c r="K150" s="42" t="s">
        <v>232</v>
      </c>
      <c r="L150" s="39" t="s">
        <v>15</v>
      </c>
      <c r="M150" s="38">
        <f t="shared" si="2"/>
        <v>36.5</v>
      </c>
    </row>
    <row r="151" customHeight="1" spans="1:13">
      <c r="A151" s="39">
        <v>150</v>
      </c>
      <c r="B151" s="39">
        <v>0</v>
      </c>
      <c r="C151" s="39">
        <v>2</v>
      </c>
      <c r="D151" s="40" t="s">
        <v>233</v>
      </c>
      <c r="E151" s="40" t="s">
        <v>13</v>
      </c>
      <c r="F151" s="39">
        <v>42</v>
      </c>
      <c r="G151" s="39">
        <v>0</v>
      </c>
      <c r="H151" s="39">
        <v>0</v>
      </c>
      <c r="I151" s="40">
        <v>244310</v>
      </c>
      <c r="J151" s="41">
        <v>13</v>
      </c>
      <c r="L151" s="39" t="s">
        <v>15</v>
      </c>
      <c r="M151" s="38">
        <f t="shared" si="2"/>
        <v>42</v>
      </c>
    </row>
    <row r="152" customHeight="1" spans="1:13">
      <c r="A152" s="39">
        <v>151</v>
      </c>
      <c r="B152" s="39">
        <v>0</v>
      </c>
      <c r="C152" s="39">
        <v>2</v>
      </c>
      <c r="D152" s="40" t="s">
        <v>234</v>
      </c>
      <c r="E152" s="40" t="s">
        <v>13</v>
      </c>
      <c r="F152" s="39">
        <v>51</v>
      </c>
      <c r="G152" s="39">
        <v>0</v>
      </c>
      <c r="H152" s="39">
        <v>0</v>
      </c>
      <c r="I152" s="40" t="s">
        <v>235</v>
      </c>
      <c r="J152" s="41">
        <v>12.525</v>
      </c>
      <c r="L152" s="39" t="s">
        <v>15</v>
      </c>
      <c r="M152" s="38">
        <f t="shared" si="2"/>
        <v>51</v>
      </c>
    </row>
    <row r="153" customHeight="1" spans="1:13">
      <c r="A153" s="39">
        <v>152</v>
      </c>
      <c r="B153" s="39">
        <v>1</v>
      </c>
      <c r="C153" s="39">
        <v>1</v>
      </c>
      <c r="D153" s="40" t="s">
        <v>236</v>
      </c>
      <c r="E153" s="40" t="s">
        <v>17</v>
      </c>
      <c r="F153" s="39">
        <v>22</v>
      </c>
      <c r="G153" s="39">
        <v>1</v>
      </c>
      <c r="H153" s="39">
        <v>0</v>
      </c>
      <c r="I153" s="40">
        <v>113776</v>
      </c>
      <c r="J153" s="41">
        <v>66.6</v>
      </c>
      <c r="K153" s="42" t="s">
        <v>237</v>
      </c>
      <c r="L153" s="39" t="s">
        <v>15</v>
      </c>
      <c r="M153" s="38">
        <f t="shared" si="2"/>
        <v>22</v>
      </c>
    </row>
    <row r="154" customHeight="1" spans="1:13">
      <c r="A154" s="39">
        <v>153</v>
      </c>
      <c r="B154" s="39">
        <v>0</v>
      </c>
      <c r="C154" s="39">
        <v>3</v>
      </c>
      <c r="D154" s="40" t="s">
        <v>238</v>
      </c>
      <c r="E154" s="40" t="s">
        <v>13</v>
      </c>
      <c r="F154" s="39">
        <v>55.5</v>
      </c>
      <c r="G154" s="39">
        <v>0</v>
      </c>
      <c r="H154" s="39">
        <v>0</v>
      </c>
      <c r="I154" s="40" t="s">
        <v>239</v>
      </c>
      <c r="J154" s="41">
        <v>8.05</v>
      </c>
      <c r="L154" s="39" t="s">
        <v>15</v>
      </c>
      <c r="M154" s="38">
        <f t="shared" si="2"/>
        <v>55.5</v>
      </c>
    </row>
    <row r="155" customHeight="1" spans="1:13">
      <c r="A155" s="39">
        <v>154</v>
      </c>
      <c r="B155" s="39">
        <v>0</v>
      </c>
      <c r="C155" s="39">
        <v>3</v>
      </c>
      <c r="D155" s="40" t="s">
        <v>240</v>
      </c>
      <c r="E155" s="40" t="s">
        <v>13</v>
      </c>
      <c r="F155" s="39">
        <v>40.5</v>
      </c>
      <c r="G155" s="39">
        <v>0</v>
      </c>
      <c r="H155" s="39">
        <v>2</v>
      </c>
      <c r="I155" s="40" t="s">
        <v>241</v>
      </c>
      <c r="J155" s="41">
        <v>14.5</v>
      </c>
      <c r="L155" s="39" t="s">
        <v>15</v>
      </c>
      <c r="M155" s="38">
        <f t="shared" si="2"/>
        <v>40.5</v>
      </c>
    </row>
    <row r="156" customHeight="1" spans="1:13">
      <c r="A156" s="39">
        <v>155</v>
      </c>
      <c r="B156" s="39">
        <v>0</v>
      </c>
      <c r="C156" s="39">
        <v>3</v>
      </c>
      <c r="D156" s="40" t="s">
        <v>242</v>
      </c>
      <c r="E156" s="40" t="s">
        <v>13</v>
      </c>
      <c r="G156" s="39">
        <v>0</v>
      </c>
      <c r="H156" s="39">
        <v>0</v>
      </c>
      <c r="I156" s="40" t="s">
        <v>243</v>
      </c>
      <c r="J156" s="41">
        <v>7.3125</v>
      </c>
      <c r="L156" s="39" t="s">
        <v>15</v>
      </c>
      <c r="M156" s="38">
        <f t="shared" si="2"/>
        <v>29.6991176470588</v>
      </c>
    </row>
    <row r="157" customHeight="1" spans="1:13">
      <c r="A157" s="39">
        <v>156</v>
      </c>
      <c r="B157" s="39">
        <v>0</v>
      </c>
      <c r="C157" s="39">
        <v>1</v>
      </c>
      <c r="D157" s="40" t="s">
        <v>244</v>
      </c>
      <c r="E157" s="40" t="s">
        <v>13</v>
      </c>
      <c r="F157" s="39">
        <v>51</v>
      </c>
      <c r="G157" s="39">
        <v>0</v>
      </c>
      <c r="H157" s="39">
        <v>1</v>
      </c>
      <c r="I157" s="40" t="s">
        <v>245</v>
      </c>
      <c r="J157" s="41">
        <v>61.3792</v>
      </c>
      <c r="L157" s="39" t="s">
        <v>20</v>
      </c>
      <c r="M157" s="38">
        <f t="shared" si="2"/>
        <v>51</v>
      </c>
    </row>
    <row r="158" customHeight="1" spans="1:13">
      <c r="A158" s="39">
        <v>157</v>
      </c>
      <c r="B158" s="39">
        <v>1</v>
      </c>
      <c r="C158" s="39">
        <v>3</v>
      </c>
      <c r="D158" s="40" t="s">
        <v>246</v>
      </c>
      <c r="E158" s="40" t="s">
        <v>17</v>
      </c>
      <c r="F158" s="39">
        <v>16</v>
      </c>
      <c r="G158" s="39">
        <v>0</v>
      </c>
      <c r="H158" s="39">
        <v>0</v>
      </c>
      <c r="I158" s="40">
        <v>35851</v>
      </c>
      <c r="J158" s="41">
        <v>7.7333</v>
      </c>
      <c r="L158" s="39" t="s">
        <v>27</v>
      </c>
      <c r="M158" s="38">
        <f t="shared" si="2"/>
        <v>16</v>
      </c>
    </row>
    <row r="159" customHeight="1" spans="1:13">
      <c r="A159" s="39">
        <v>158</v>
      </c>
      <c r="B159" s="39">
        <v>0</v>
      </c>
      <c r="C159" s="39">
        <v>3</v>
      </c>
      <c r="D159" s="40" t="s">
        <v>247</v>
      </c>
      <c r="E159" s="40" t="s">
        <v>13</v>
      </c>
      <c r="F159" s="39">
        <v>30</v>
      </c>
      <c r="G159" s="39">
        <v>0</v>
      </c>
      <c r="H159" s="39">
        <v>0</v>
      </c>
      <c r="I159" s="40" t="s">
        <v>248</v>
      </c>
      <c r="J159" s="41">
        <v>8.05</v>
      </c>
      <c r="L159" s="39" t="s">
        <v>15</v>
      </c>
      <c r="M159" s="38">
        <f t="shared" si="2"/>
        <v>30</v>
      </c>
    </row>
    <row r="160" customHeight="1" spans="1:13">
      <c r="A160" s="39">
        <v>159</v>
      </c>
      <c r="B160" s="39">
        <v>0</v>
      </c>
      <c r="C160" s="39">
        <v>3</v>
      </c>
      <c r="D160" s="40" t="s">
        <v>249</v>
      </c>
      <c r="E160" s="40" t="s">
        <v>13</v>
      </c>
      <c r="G160" s="39">
        <v>0</v>
      </c>
      <c r="H160" s="39">
        <v>0</v>
      </c>
      <c r="I160" s="40">
        <v>315037</v>
      </c>
      <c r="J160" s="41">
        <v>8.6625</v>
      </c>
      <c r="L160" s="39" t="s">
        <v>15</v>
      </c>
      <c r="M160" s="38">
        <f t="shared" si="2"/>
        <v>29.6991176470588</v>
      </c>
    </row>
    <row r="161" customHeight="1" spans="1:13">
      <c r="A161" s="39">
        <v>160</v>
      </c>
      <c r="B161" s="39">
        <v>0</v>
      </c>
      <c r="C161" s="39">
        <v>3</v>
      </c>
      <c r="D161" s="40" t="s">
        <v>250</v>
      </c>
      <c r="E161" s="40" t="s">
        <v>13</v>
      </c>
      <c r="G161" s="39">
        <v>8</v>
      </c>
      <c r="H161" s="39">
        <v>2</v>
      </c>
      <c r="I161" s="40" t="s">
        <v>251</v>
      </c>
      <c r="J161" s="41">
        <v>69.55</v>
      </c>
      <c r="L161" s="39" t="s">
        <v>15</v>
      </c>
      <c r="M161" s="38">
        <f t="shared" si="2"/>
        <v>29.6991176470588</v>
      </c>
    </row>
    <row r="162" customHeight="1" spans="1:13">
      <c r="A162" s="39">
        <v>161</v>
      </c>
      <c r="B162" s="39">
        <v>0</v>
      </c>
      <c r="C162" s="39">
        <v>3</v>
      </c>
      <c r="D162" s="40" t="s">
        <v>252</v>
      </c>
      <c r="E162" s="40" t="s">
        <v>13</v>
      </c>
      <c r="F162" s="39">
        <v>44</v>
      </c>
      <c r="G162" s="39">
        <v>0</v>
      </c>
      <c r="H162" s="39">
        <v>1</v>
      </c>
      <c r="I162" s="40">
        <v>371362</v>
      </c>
      <c r="J162" s="41">
        <v>16.1</v>
      </c>
      <c r="L162" s="39" t="s">
        <v>15</v>
      </c>
      <c r="M162" s="38">
        <f t="shared" si="2"/>
        <v>44</v>
      </c>
    </row>
    <row r="163" customHeight="1" spans="1:13">
      <c r="A163" s="39">
        <v>162</v>
      </c>
      <c r="B163" s="39">
        <v>1</v>
      </c>
      <c r="C163" s="39">
        <v>2</v>
      </c>
      <c r="D163" s="40" t="s">
        <v>253</v>
      </c>
      <c r="E163" s="40" t="s">
        <v>17</v>
      </c>
      <c r="F163" s="39">
        <v>40</v>
      </c>
      <c r="G163" s="39">
        <v>0</v>
      </c>
      <c r="H163" s="39">
        <v>0</v>
      </c>
      <c r="I163" s="40" t="s">
        <v>254</v>
      </c>
      <c r="J163" s="41">
        <v>15.75</v>
      </c>
      <c r="L163" s="39" t="s">
        <v>15</v>
      </c>
      <c r="M163" s="38">
        <f t="shared" si="2"/>
        <v>40</v>
      </c>
    </row>
    <row r="164" customHeight="1" spans="1:13">
      <c r="A164" s="39">
        <v>163</v>
      </c>
      <c r="B164" s="39">
        <v>0</v>
      </c>
      <c r="C164" s="39">
        <v>3</v>
      </c>
      <c r="D164" s="40" t="s">
        <v>255</v>
      </c>
      <c r="E164" s="40" t="s">
        <v>13</v>
      </c>
      <c r="F164" s="39">
        <v>26</v>
      </c>
      <c r="G164" s="39">
        <v>0</v>
      </c>
      <c r="H164" s="39">
        <v>0</v>
      </c>
      <c r="I164" s="40">
        <v>347068</v>
      </c>
      <c r="J164" s="41">
        <v>7.775</v>
      </c>
      <c r="L164" s="39" t="s">
        <v>15</v>
      </c>
      <c r="M164" s="38">
        <f t="shared" si="2"/>
        <v>26</v>
      </c>
    </row>
    <row r="165" customHeight="1" spans="1:13">
      <c r="A165" s="39">
        <v>164</v>
      </c>
      <c r="B165" s="39">
        <v>0</v>
      </c>
      <c r="C165" s="39">
        <v>3</v>
      </c>
      <c r="D165" s="40" t="s">
        <v>256</v>
      </c>
      <c r="E165" s="40" t="s">
        <v>13</v>
      </c>
      <c r="F165" s="39">
        <v>17</v>
      </c>
      <c r="G165" s="39">
        <v>0</v>
      </c>
      <c r="H165" s="39">
        <v>0</v>
      </c>
      <c r="I165" s="40">
        <v>315093</v>
      </c>
      <c r="J165" s="41">
        <v>8.6625</v>
      </c>
      <c r="L165" s="39" t="s">
        <v>15</v>
      </c>
      <c r="M165" s="38">
        <f t="shared" si="2"/>
        <v>17</v>
      </c>
    </row>
    <row r="166" customHeight="1" spans="1:13">
      <c r="A166" s="39">
        <v>165</v>
      </c>
      <c r="B166" s="39">
        <v>0</v>
      </c>
      <c r="C166" s="39">
        <v>3</v>
      </c>
      <c r="D166" s="40" t="s">
        <v>257</v>
      </c>
      <c r="E166" s="40" t="s">
        <v>13</v>
      </c>
      <c r="F166" s="39">
        <v>1</v>
      </c>
      <c r="G166" s="39">
        <v>4</v>
      </c>
      <c r="H166" s="39">
        <v>1</v>
      </c>
      <c r="I166" s="40">
        <v>3101295</v>
      </c>
      <c r="J166" s="41">
        <v>39.6875</v>
      </c>
      <c r="L166" s="39" t="s">
        <v>15</v>
      </c>
      <c r="M166" s="38">
        <f t="shared" si="2"/>
        <v>1</v>
      </c>
    </row>
    <row r="167" customHeight="1" spans="1:13">
      <c r="A167" s="39">
        <v>166</v>
      </c>
      <c r="B167" s="39">
        <v>1</v>
      </c>
      <c r="C167" s="39">
        <v>3</v>
      </c>
      <c r="D167" s="40" t="s">
        <v>258</v>
      </c>
      <c r="E167" s="40" t="s">
        <v>13</v>
      </c>
      <c r="F167" s="39">
        <v>9</v>
      </c>
      <c r="G167" s="39">
        <v>0</v>
      </c>
      <c r="H167" s="39">
        <v>2</v>
      </c>
      <c r="I167" s="40">
        <v>363291</v>
      </c>
      <c r="J167" s="41">
        <v>20.525</v>
      </c>
      <c r="L167" s="39" t="s">
        <v>15</v>
      </c>
      <c r="M167" s="38">
        <f t="shared" si="2"/>
        <v>9</v>
      </c>
    </row>
    <row r="168" customHeight="1" spans="1:13">
      <c r="A168" s="39">
        <v>167</v>
      </c>
      <c r="B168" s="39">
        <v>1</v>
      </c>
      <c r="C168" s="39">
        <v>1</v>
      </c>
      <c r="D168" s="40" t="s">
        <v>259</v>
      </c>
      <c r="E168" s="40" t="s">
        <v>17</v>
      </c>
      <c r="G168" s="39">
        <v>0</v>
      </c>
      <c r="H168" s="39">
        <v>1</v>
      </c>
      <c r="I168" s="40">
        <v>113505</v>
      </c>
      <c r="J168" s="41">
        <v>55</v>
      </c>
      <c r="K168" s="42" t="s">
        <v>260</v>
      </c>
      <c r="L168" s="39" t="s">
        <v>15</v>
      </c>
      <c r="M168" s="38">
        <f t="shared" si="2"/>
        <v>29.6991176470588</v>
      </c>
    </row>
    <row r="169" customHeight="1" spans="1:13">
      <c r="A169" s="39">
        <v>168</v>
      </c>
      <c r="B169" s="39">
        <v>0</v>
      </c>
      <c r="C169" s="39">
        <v>3</v>
      </c>
      <c r="D169" s="40" t="s">
        <v>261</v>
      </c>
      <c r="E169" s="40" t="s">
        <v>17</v>
      </c>
      <c r="F169" s="39">
        <v>45</v>
      </c>
      <c r="G169" s="39">
        <v>1</v>
      </c>
      <c r="H169" s="39">
        <v>4</v>
      </c>
      <c r="I169" s="40">
        <v>347088</v>
      </c>
      <c r="J169" s="41">
        <v>27.9</v>
      </c>
      <c r="L169" s="39" t="s">
        <v>15</v>
      </c>
      <c r="M169" s="38">
        <f t="shared" si="2"/>
        <v>45</v>
      </c>
    </row>
    <row r="170" customHeight="1" spans="1:13">
      <c r="A170" s="39">
        <v>169</v>
      </c>
      <c r="B170" s="39">
        <v>0</v>
      </c>
      <c r="C170" s="39">
        <v>1</v>
      </c>
      <c r="D170" s="40" t="s">
        <v>262</v>
      </c>
      <c r="E170" s="40" t="s">
        <v>13</v>
      </c>
      <c r="G170" s="39">
        <v>0</v>
      </c>
      <c r="H170" s="39">
        <v>0</v>
      </c>
      <c r="I170" s="40" t="s">
        <v>263</v>
      </c>
      <c r="J170" s="41">
        <v>25.925</v>
      </c>
      <c r="L170" s="39" t="s">
        <v>15</v>
      </c>
      <c r="M170" s="38">
        <f t="shared" si="2"/>
        <v>29.6991176470588</v>
      </c>
    </row>
    <row r="171" customHeight="1" spans="1:13">
      <c r="A171" s="39">
        <v>170</v>
      </c>
      <c r="B171" s="39">
        <v>0</v>
      </c>
      <c r="C171" s="39">
        <v>3</v>
      </c>
      <c r="D171" s="40" t="s">
        <v>264</v>
      </c>
      <c r="E171" s="40" t="s">
        <v>13</v>
      </c>
      <c r="F171" s="39">
        <v>28</v>
      </c>
      <c r="G171" s="39">
        <v>0</v>
      </c>
      <c r="H171" s="39">
        <v>0</v>
      </c>
      <c r="I171" s="40">
        <v>1601</v>
      </c>
      <c r="J171" s="41">
        <v>56.4958</v>
      </c>
      <c r="L171" s="39" t="s">
        <v>15</v>
      </c>
      <c r="M171" s="38">
        <f t="shared" si="2"/>
        <v>28</v>
      </c>
    </row>
    <row r="172" customHeight="1" spans="1:13">
      <c r="A172" s="39">
        <v>171</v>
      </c>
      <c r="B172" s="39">
        <v>0</v>
      </c>
      <c r="C172" s="39">
        <v>1</v>
      </c>
      <c r="D172" s="40" t="s">
        <v>265</v>
      </c>
      <c r="E172" s="40" t="s">
        <v>13</v>
      </c>
      <c r="F172" s="39">
        <v>61</v>
      </c>
      <c r="G172" s="39">
        <v>0</v>
      </c>
      <c r="H172" s="39">
        <v>0</v>
      </c>
      <c r="I172" s="40">
        <v>111240</v>
      </c>
      <c r="J172" s="41">
        <v>33.5</v>
      </c>
      <c r="K172" s="42" t="s">
        <v>266</v>
      </c>
      <c r="L172" s="39" t="s">
        <v>15</v>
      </c>
      <c r="M172" s="38">
        <f t="shared" si="2"/>
        <v>61</v>
      </c>
    </row>
    <row r="173" customHeight="1" spans="1:13">
      <c r="A173" s="39">
        <v>172</v>
      </c>
      <c r="B173" s="39">
        <v>0</v>
      </c>
      <c r="C173" s="39">
        <v>3</v>
      </c>
      <c r="D173" s="40" t="s">
        <v>267</v>
      </c>
      <c r="E173" s="40" t="s">
        <v>13</v>
      </c>
      <c r="F173" s="39">
        <v>4</v>
      </c>
      <c r="G173" s="39">
        <v>4</v>
      </c>
      <c r="H173" s="39">
        <v>1</v>
      </c>
      <c r="I173" s="40">
        <v>382652</v>
      </c>
      <c r="J173" s="41">
        <v>29.125</v>
      </c>
      <c r="L173" s="39" t="s">
        <v>27</v>
      </c>
      <c r="M173" s="38">
        <f t="shared" si="2"/>
        <v>4</v>
      </c>
    </row>
    <row r="174" customHeight="1" spans="1:13">
      <c r="A174" s="39">
        <v>173</v>
      </c>
      <c r="B174" s="39">
        <v>1</v>
      </c>
      <c r="C174" s="39">
        <v>3</v>
      </c>
      <c r="D174" s="40" t="s">
        <v>268</v>
      </c>
      <c r="E174" s="40" t="s">
        <v>17</v>
      </c>
      <c r="F174" s="39">
        <v>1</v>
      </c>
      <c r="G174" s="39">
        <v>1</v>
      </c>
      <c r="H174" s="39">
        <v>1</v>
      </c>
      <c r="I174" s="40">
        <v>347742</v>
      </c>
      <c r="J174" s="41">
        <v>11.1333</v>
      </c>
      <c r="L174" s="39" t="s">
        <v>15</v>
      </c>
      <c r="M174" s="38">
        <f t="shared" si="2"/>
        <v>1</v>
      </c>
    </row>
    <row r="175" customHeight="1" spans="1:13">
      <c r="A175" s="39">
        <v>174</v>
      </c>
      <c r="B175" s="39">
        <v>0</v>
      </c>
      <c r="C175" s="39">
        <v>3</v>
      </c>
      <c r="D175" s="40" t="s">
        <v>269</v>
      </c>
      <c r="E175" s="40" t="s">
        <v>13</v>
      </c>
      <c r="F175" s="39">
        <v>21</v>
      </c>
      <c r="G175" s="39">
        <v>0</v>
      </c>
      <c r="H175" s="39">
        <v>0</v>
      </c>
      <c r="I175" s="40" t="s">
        <v>270</v>
      </c>
      <c r="J175" s="41">
        <v>7.925</v>
      </c>
      <c r="L175" s="39" t="s">
        <v>15</v>
      </c>
      <c r="M175" s="38">
        <f t="shared" si="2"/>
        <v>21</v>
      </c>
    </row>
    <row r="176" customHeight="1" spans="1:13">
      <c r="A176" s="39">
        <v>175</v>
      </c>
      <c r="B176" s="39">
        <v>0</v>
      </c>
      <c r="C176" s="39">
        <v>1</v>
      </c>
      <c r="D176" s="40" t="s">
        <v>271</v>
      </c>
      <c r="E176" s="40" t="s">
        <v>13</v>
      </c>
      <c r="F176" s="39">
        <v>56</v>
      </c>
      <c r="G176" s="39">
        <v>0</v>
      </c>
      <c r="H176" s="39">
        <v>0</v>
      </c>
      <c r="I176" s="40">
        <v>17764</v>
      </c>
      <c r="J176" s="41">
        <v>30.6958</v>
      </c>
      <c r="K176" s="42" t="s">
        <v>272</v>
      </c>
      <c r="L176" s="39" t="s">
        <v>20</v>
      </c>
      <c r="M176" s="38">
        <f t="shared" si="2"/>
        <v>56</v>
      </c>
    </row>
    <row r="177" customHeight="1" spans="1:26">
      <c r="A177" s="39">
        <v>176</v>
      </c>
      <c r="B177" s="39">
        <v>0</v>
      </c>
      <c r="C177" s="39">
        <v>3</v>
      </c>
      <c r="D177" s="40" t="s">
        <v>273</v>
      </c>
      <c r="E177" s="40" t="s">
        <v>13</v>
      </c>
      <c r="F177" s="39">
        <v>18</v>
      </c>
      <c r="G177" s="39">
        <v>1</v>
      </c>
      <c r="H177" s="39">
        <v>1</v>
      </c>
      <c r="I177" s="40">
        <v>350404</v>
      </c>
      <c r="J177" s="41">
        <v>7.8542</v>
      </c>
      <c r="L177" s="39" t="s">
        <v>15</v>
      </c>
      <c r="M177" s="38">
        <f t="shared" si="2"/>
        <v>18</v>
      </c>
    </row>
    <row r="178" customHeight="1" spans="1:26">
      <c r="A178" s="39">
        <v>177</v>
      </c>
      <c r="B178" s="39">
        <v>0</v>
      </c>
      <c r="C178" s="39">
        <v>3</v>
      </c>
      <c r="D178" s="40" t="s">
        <v>274</v>
      </c>
      <c r="E178" s="40" t="s">
        <v>13</v>
      </c>
      <c r="G178" s="39">
        <v>3</v>
      </c>
      <c r="H178" s="39">
        <v>1</v>
      </c>
      <c r="I178" s="40">
        <v>4133</v>
      </c>
      <c r="J178" s="41">
        <v>25.4667</v>
      </c>
      <c r="L178" s="39" t="s">
        <v>15</v>
      </c>
      <c r="M178" s="38">
        <f t="shared" si="2"/>
        <v>29.6991176470588</v>
      </c>
      <c r="Z178" s="39" t="s">
        <v>1224</v>
      </c>
    </row>
    <row r="179" customHeight="1" spans="1:26">
      <c r="A179" s="39">
        <v>178</v>
      </c>
      <c r="B179" s="39">
        <v>0</v>
      </c>
      <c r="C179" s="39">
        <v>1</v>
      </c>
      <c r="D179" s="40" t="s">
        <v>275</v>
      </c>
      <c r="E179" s="40" t="s">
        <v>17</v>
      </c>
      <c r="F179" s="39">
        <v>50</v>
      </c>
      <c r="G179" s="39">
        <v>0</v>
      </c>
      <c r="H179" s="39">
        <v>0</v>
      </c>
      <c r="I179" s="40" t="s">
        <v>276</v>
      </c>
      <c r="J179" s="41">
        <v>28.7125</v>
      </c>
      <c r="K179" s="42" t="s">
        <v>277</v>
      </c>
      <c r="L179" s="39" t="s">
        <v>20</v>
      </c>
      <c r="M179" s="38">
        <f t="shared" si="2"/>
        <v>50</v>
      </c>
    </row>
    <row r="180" customHeight="1" spans="1:26">
      <c r="A180" s="39">
        <v>179</v>
      </c>
      <c r="B180" s="39">
        <v>0</v>
      </c>
      <c r="C180" s="39">
        <v>2</v>
      </c>
      <c r="D180" s="40" t="s">
        <v>278</v>
      </c>
      <c r="E180" s="40" t="s">
        <v>13</v>
      </c>
      <c r="F180" s="39">
        <v>30</v>
      </c>
      <c r="G180" s="39">
        <v>0</v>
      </c>
      <c r="H180" s="39">
        <v>0</v>
      </c>
      <c r="I180" s="40">
        <v>250653</v>
      </c>
      <c r="J180" s="41">
        <v>13</v>
      </c>
      <c r="L180" s="39" t="s">
        <v>15</v>
      </c>
      <c r="M180" s="38">
        <f t="shared" si="2"/>
        <v>30</v>
      </c>
    </row>
    <row r="181" customHeight="1" spans="1:26">
      <c r="A181" s="39">
        <v>180</v>
      </c>
      <c r="B181" s="39">
        <v>0</v>
      </c>
      <c r="C181" s="39">
        <v>3</v>
      </c>
      <c r="D181" s="40" t="s">
        <v>279</v>
      </c>
      <c r="E181" s="40" t="s">
        <v>13</v>
      </c>
      <c r="F181" s="39">
        <v>36</v>
      </c>
      <c r="G181" s="39">
        <v>0</v>
      </c>
      <c r="H181" s="39">
        <v>0</v>
      </c>
      <c r="I181" s="40" t="s">
        <v>280</v>
      </c>
      <c r="J181" s="41">
        <v>0</v>
      </c>
      <c r="L181" s="39" t="s">
        <v>15</v>
      </c>
      <c r="M181" s="38">
        <f t="shared" si="2"/>
        <v>36</v>
      </c>
    </row>
    <row r="182" customHeight="1" spans="1:26">
      <c r="A182" s="39">
        <v>181</v>
      </c>
      <c r="B182" s="39">
        <v>0</v>
      </c>
      <c r="C182" s="39">
        <v>3</v>
      </c>
      <c r="D182" s="40" t="s">
        <v>281</v>
      </c>
      <c r="E182" s="40" t="s">
        <v>17</v>
      </c>
      <c r="G182" s="39">
        <v>8</v>
      </c>
      <c r="H182" s="39">
        <v>2</v>
      </c>
      <c r="I182" s="40" t="s">
        <v>251</v>
      </c>
      <c r="J182" s="41">
        <v>69.55</v>
      </c>
      <c r="L182" s="39" t="s">
        <v>15</v>
      </c>
      <c r="M182" s="38">
        <f t="shared" si="2"/>
        <v>29.6991176470588</v>
      </c>
    </row>
    <row r="183" customHeight="1" spans="1:26">
      <c r="A183" s="39">
        <v>182</v>
      </c>
      <c r="B183" s="39">
        <v>0</v>
      </c>
      <c r="C183" s="39">
        <v>2</v>
      </c>
      <c r="D183" s="40" t="s">
        <v>282</v>
      </c>
      <c r="E183" s="40" t="s">
        <v>13</v>
      </c>
      <c r="G183" s="39">
        <v>0</v>
      </c>
      <c r="H183" s="39">
        <v>0</v>
      </c>
      <c r="I183" s="40" t="s">
        <v>283</v>
      </c>
      <c r="J183" s="41">
        <v>15.05</v>
      </c>
      <c r="L183" s="39" t="s">
        <v>20</v>
      </c>
      <c r="M183" s="38">
        <f t="shared" si="2"/>
        <v>29.6991176470588</v>
      </c>
    </row>
    <row r="184" customHeight="1" spans="1:26">
      <c r="A184" s="39">
        <v>183</v>
      </c>
      <c r="B184" s="39">
        <v>0</v>
      </c>
      <c r="C184" s="39">
        <v>3</v>
      </c>
      <c r="D184" s="40" t="s">
        <v>284</v>
      </c>
      <c r="E184" s="40" t="s">
        <v>13</v>
      </c>
      <c r="F184" s="39">
        <v>9</v>
      </c>
      <c r="G184" s="39">
        <v>4</v>
      </c>
      <c r="H184" s="39">
        <v>2</v>
      </c>
      <c r="I184" s="40">
        <v>347077</v>
      </c>
      <c r="J184" s="41">
        <v>31.3875</v>
      </c>
      <c r="L184" s="39" t="s">
        <v>15</v>
      </c>
      <c r="M184" s="38">
        <f t="shared" si="2"/>
        <v>9</v>
      </c>
    </row>
    <row r="185" customHeight="1" spans="1:26">
      <c r="A185" s="39">
        <v>184</v>
      </c>
      <c r="B185" s="39">
        <v>1</v>
      </c>
      <c r="C185" s="39">
        <v>2</v>
      </c>
      <c r="D185" s="40" t="s">
        <v>285</v>
      </c>
      <c r="E185" s="40" t="s">
        <v>13</v>
      </c>
      <c r="F185" s="39">
        <v>1</v>
      </c>
      <c r="G185" s="39">
        <v>2</v>
      </c>
      <c r="H185" s="39">
        <v>1</v>
      </c>
      <c r="I185" s="40">
        <v>230136</v>
      </c>
      <c r="J185" s="41">
        <v>39</v>
      </c>
      <c r="K185" s="42" t="s">
        <v>286</v>
      </c>
      <c r="L185" s="39" t="s">
        <v>15</v>
      </c>
      <c r="M185" s="38">
        <f t="shared" si="2"/>
        <v>1</v>
      </c>
    </row>
    <row r="186" customHeight="1" spans="1:26">
      <c r="A186" s="39">
        <v>185</v>
      </c>
      <c r="B186" s="39">
        <v>1</v>
      </c>
      <c r="C186" s="39">
        <v>3</v>
      </c>
      <c r="D186" s="40" t="s">
        <v>287</v>
      </c>
      <c r="E186" s="40" t="s">
        <v>17</v>
      </c>
      <c r="F186" s="39">
        <v>4</v>
      </c>
      <c r="G186" s="39">
        <v>0</v>
      </c>
      <c r="H186" s="39">
        <v>2</v>
      </c>
      <c r="I186" s="40">
        <v>315153</v>
      </c>
      <c r="J186" s="41">
        <v>22.025</v>
      </c>
      <c r="L186" s="39" t="s">
        <v>15</v>
      </c>
      <c r="M186" s="38">
        <f t="shared" si="2"/>
        <v>4</v>
      </c>
    </row>
    <row r="187" customHeight="1" spans="1:26">
      <c r="A187" s="39">
        <v>186</v>
      </c>
      <c r="B187" s="39">
        <v>0</v>
      </c>
      <c r="C187" s="39">
        <v>1</v>
      </c>
      <c r="D187" s="40" t="s">
        <v>288</v>
      </c>
      <c r="E187" s="40" t="s">
        <v>13</v>
      </c>
      <c r="G187" s="39">
        <v>0</v>
      </c>
      <c r="H187" s="39">
        <v>0</v>
      </c>
      <c r="I187" s="40">
        <v>113767</v>
      </c>
      <c r="J187" s="41">
        <v>50</v>
      </c>
      <c r="K187" s="42" t="s">
        <v>289</v>
      </c>
      <c r="L187" s="39" t="s">
        <v>15</v>
      </c>
      <c r="M187" s="38">
        <f t="shared" si="2"/>
        <v>29.6991176470588</v>
      </c>
    </row>
    <row r="188" customHeight="1" spans="1:26">
      <c r="A188" s="39">
        <v>187</v>
      </c>
      <c r="B188" s="39">
        <v>1</v>
      </c>
      <c r="C188" s="39">
        <v>3</v>
      </c>
      <c r="D188" s="40" t="s">
        <v>290</v>
      </c>
      <c r="E188" s="40" t="s">
        <v>17</v>
      </c>
      <c r="G188" s="39">
        <v>1</v>
      </c>
      <c r="H188" s="39">
        <v>0</v>
      </c>
      <c r="I188" s="40">
        <v>370365</v>
      </c>
      <c r="J188" s="41">
        <v>15.5</v>
      </c>
      <c r="L188" s="39" t="s">
        <v>27</v>
      </c>
      <c r="M188" s="38">
        <f t="shared" si="2"/>
        <v>29.6991176470588</v>
      </c>
    </row>
    <row r="189" customHeight="1" spans="1:26">
      <c r="A189" s="39">
        <v>188</v>
      </c>
      <c r="B189" s="39">
        <v>1</v>
      </c>
      <c r="C189" s="39">
        <v>1</v>
      </c>
      <c r="D189" s="40" t="s">
        <v>291</v>
      </c>
      <c r="E189" s="40" t="s">
        <v>13</v>
      </c>
      <c r="F189" s="39">
        <v>45</v>
      </c>
      <c r="G189" s="39">
        <v>0</v>
      </c>
      <c r="H189" s="39">
        <v>0</v>
      </c>
      <c r="I189" s="40">
        <v>111428</v>
      </c>
      <c r="J189" s="41">
        <v>26.55</v>
      </c>
      <c r="L189" s="39" t="s">
        <v>15</v>
      </c>
      <c r="M189" s="38">
        <f t="shared" si="2"/>
        <v>45</v>
      </c>
    </row>
    <row r="190" customHeight="1" spans="1:26">
      <c r="A190" s="39">
        <v>189</v>
      </c>
      <c r="B190" s="39">
        <v>0</v>
      </c>
      <c r="C190" s="39">
        <v>3</v>
      </c>
      <c r="D190" s="40" t="s">
        <v>292</v>
      </c>
      <c r="E190" s="40" t="s">
        <v>13</v>
      </c>
      <c r="F190" s="39">
        <v>40</v>
      </c>
      <c r="G190" s="39">
        <v>1</v>
      </c>
      <c r="H190" s="39">
        <v>1</v>
      </c>
      <c r="I190" s="40">
        <v>364849</v>
      </c>
      <c r="J190" s="41">
        <v>15.5</v>
      </c>
      <c r="L190" s="39" t="s">
        <v>27</v>
      </c>
      <c r="M190" s="38">
        <f t="shared" si="2"/>
        <v>40</v>
      </c>
    </row>
    <row r="191" customHeight="1" spans="1:26">
      <c r="A191" s="39">
        <v>190</v>
      </c>
      <c r="B191" s="39">
        <v>0</v>
      </c>
      <c r="C191" s="39">
        <v>3</v>
      </c>
      <c r="D191" s="40" t="s">
        <v>293</v>
      </c>
      <c r="E191" s="40" t="s">
        <v>13</v>
      </c>
      <c r="F191" s="39">
        <v>36</v>
      </c>
      <c r="G191" s="39">
        <v>0</v>
      </c>
      <c r="H191" s="39">
        <v>0</v>
      </c>
      <c r="I191" s="40">
        <v>349247</v>
      </c>
      <c r="J191" s="41">
        <v>7.8958</v>
      </c>
      <c r="L191" s="39" t="s">
        <v>15</v>
      </c>
      <c r="M191" s="38">
        <f t="shared" si="2"/>
        <v>36</v>
      </c>
    </row>
    <row r="192" customHeight="1" spans="1:26">
      <c r="A192" s="39">
        <v>191</v>
      </c>
      <c r="B192" s="39">
        <v>1</v>
      </c>
      <c r="C192" s="39">
        <v>2</v>
      </c>
      <c r="D192" s="40" t="s">
        <v>294</v>
      </c>
      <c r="E192" s="40" t="s">
        <v>17</v>
      </c>
      <c r="F192" s="39">
        <v>32</v>
      </c>
      <c r="G192" s="39">
        <v>0</v>
      </c>
      <c r="H192" s="39">
        <v>0</v>
      </c>
      <c r="I192" s="40">
        <v>234604</v>
      </c>
      <c r="J192" s="41">
        <v>13</v>
      </c>
      <c r="L192" s="39" t="s">
        <v>15</v>
      </c>
      <c r="M192" s="38">
        <f t="shared" si="2"/>
        <v>32</v>
      </c>
    </row>
    <row r="193" customHeight="1" spans="1:13">
      <c r="A193" s="39">
        <v>192</v>
      </c>
      <c r="B193" s="39">
        <v>0</v>
      </c>
      <c r="C193" s="39">
        <v>2</v>
      </c>
      <c r="D193" s="40" t="s">
        <v>295</v>
      </c>
      <c r="E193" s="40" t="s">
        <v>13</v>
      </c>
      <c r="F193" s="39">
        <v>19</v>
      </c>
      <c r="G193" s="39">
        <v>0</v>
      </c>
      <c r="H193" s="39">
        <v>0</v>
      </c>
      <c r="I193" s="40">
        <v>28424</v>
      </c>
      <c r="J193" s="41">
        <v>13</v>
      </c>
      <c r="L193" s="39" t="s">
        <v>15</v>
      </c>
      <c r="M193" s="38">
        <f t="shared" si="2"/>
        <v>19</v>
      </c>
    </row>
    <row r="194" customHeight="1" spans="1:13">
      <c r="A194" s="39">
        <v>193</v>
      </c>
      <c r="B194" s="39">
        <v>1</v>
      </c>
      <c r="C194" s="39">
        <v>3</v>
      </c>
      <c r="D194" s="40" t="s">
        <v>296</v>
      </c>
      <c r="E194" s="40" t="s">
        <v>17</v>
      </c>
      <c r="F194" s="39">
        <v>19</v>
      </c>
      <c r="G194" s="39">
        <v>1</v>
      </c>
      <c r="H194" s="39">
        <v>0</v>
      </c>
      <c r="I194" s="40">
        <v>350046</v>
      </c>
      <c r="J194" s="41">
        <v>7.8542</v>
      </c>
      <c r="L194" s="39" t="s">
        <v>15</v>
      </c>
      <c r="M194" s="38">
        <f t="shared" ref="M194:M257" si="3">IF(F194="",AVERAGE($F$2:$F$892),F194)</f>
        <v>19</v>
      </c>
    </row>
    <row r="195" customHeight="1" spans="1:13">
      <c r="A195" s="39">
        <v>194</v>
      </c>
      <c r="B195" s="39">
        <v>1</v>
      </c>
      <c r="C195" s="39">
        <v>2</v>
      </c>
      <c r="D195" s="40" t="s">
        <v>297</v>
      </c>
      <c r="E195" s="40" t="s">
        <v>13</v>
      </c>
      <c r="F195" s="39">
        <v>3</v>
      </c>
      <c r="G195" s="39">
        <v>1</v>
      </c>
      <c r="H195" s="39">
        <v>1</v>
      </c>
      <c r="I195" s="40">
        <v>230080</v>
      </c>
      <c r="J195" s="41">
        <v>26</v>
      </c>
      <c r="K195" s="42" t="s">
        <v>232</v>
      </c>
      <c r="L195" s="39" t="s">
        <v>15</v>
      </c>
      <c r="M195" s="38">
        <f t="shared" si="3"/>
        <v>3</v>
      </c>
    </row>
    <row r="196" customHeight="1" spans="1:13">
      <c r="A196" s="39">
        <v>195</v>
      </c>
      <c r="B196" s="39">
        <v>1</v>
      </c>
      <c r="C196" s="39">
        <v>1</v>
      </c>
      <c r="D196" s="40" t="s">
        <v>298</v>
      </c>
      <c r="E196" s="40" t="s">
        <v>17</v>
      </c>
      <c r="F196" s="39">
        <v>44</v>
      </c>
      <c r="G196" s="39">
        <v>0</v>
      </c>
      <c r="H196" s="39">
        <v>0</v>
      </c>
      <c r="I196" s="40" t="s">
        <v>299</v>
      </c>
      <c r="J196" s="41">
        <v>27.7208</v>
      </c>
      <c r="K196" s="42" t="s">
        <v>300</v>
      </c>
      <c r="L196" s="39" t="s">
        <v>20</v>
      </c>
      <c r="M196" s="38">
        <f t="shared" si="3"/>
        <v>44</v>
      </c>
    </row>
    <row r="197" customHeight="1" spans="1:13">
      <c r="A197" s="39">
        <v>196</v>
      </c>
      <c r="B197" s="39">
        <v>1</v>
      </c>
      <c r="C197" s="39">
        <v>1</v>
      </c>
      <c r="D197" s="40" t="s">
        <v>301</v>
      </c>
      <c r="E197" s="40" t="s">
        <v>17</v>
      </c>
      <c r="F197" s="39">
        <v>58</v>
      </c>
      <c r="G197" s="39">
        <v>0</v>
      </c>
      <c r="H197" s="39">
        <v>0</v>
      </c>
      <c r="I197" s="40" t="s">
        <v>63</v>
      </c>
      <c r="J197" s="41">
        <v>146.5208</v>
      </c>
      <c r="K197" s="42" t="s">
        <v>302</v>
      </c>
      <c r="L197" s="39" t="s">
        <v>20</v>
      </c>
      <c r="M197" s="38">
        <f t="shared" si="3"/>
        <v>58</v>
      </c>
    </row>
    <row r="198" customHeight="1" spans="1:13">
      <c r="A198" s="39">
        <v>197</v>
      </c>
      <c r="B198" s="39">
        <v>0</v>
      </c>
      <c r="C198" s="39">
        <v>3</v>
      </c>
      <c r="D198" s="40" t="s">
        <v>303</v>
      </c>
      <c r="E198" s="40" t="s">
        <v>13</v>
      </c>
      <c r="G198" s="39">
        <v>0</v>
      </c>
      <c r="H198" s="39">
        <v>0</v>
      </c>
      <c r="I198" s="40">
        <v>368703</v>
      </c>
      <c r="J198" s="41">
        <v>7.75</v>
      </c>
      <c r="L198" s="39" t="s">
        <v>27</v>
      </c>
      <c r="M198" s="38">
        <f t="shared" si="3"/>
        <v>29.6991176470588</v>
      </c>
    </row>
    <row r="199" customHeight="1" spans="1:13">
      <c r="A199" s="39">
        <v>198</v>
      </c>
      <c r="B199" s="39">
        <v>0</v>
      </c>
      <c r="C199" s="39">
        <v>3</v>
      </c>
      <c r="D199" s="40" t="s">
        <v>304</v>
      </c>
      <c r="E199" s="40" t="s">
        <v>13</v>
      </c>
      <c r="F199" s="39">
        <v>42</v>
      </c>
      <c r="G199" s="39">
        <v>0</v>
      </c>
      <c r="H199" s="39">
        <v>1</v>
      </c>
      <c r="I199" s="40">
        <v>4579</v>
      </c>
      <c r="J199" s="41">
        <v>8.4042</v>
      </c>
      <c r="L199" s="39" t="s">
        <v>15</v>
      </c>
      <c r="M199" s="38">
        <f t="shared" si="3"/>
        <v>42</v>
      </c>
    </row>
    <row r="200" customHeight="1" spans="1:13">
      <c r="A200" s="39">
        <v>199</v>
      </c>
      <c r="B200" s="39">
        <v>1</v>
      </c>
      <c r="C200" s="39">
        <v>3</v>
      </c>
      <c r="D200" s="40" t="s">
        <v>305</v>
      </c>
      <c r="E200" s="40" t="s">
        <v>17</v>
      </c>
      <c r="G200" s="39">
        <v>0</v>
      </c>
      <c r="H200" s="39">
        <v>0</v>
      </c>
      <c r="I200" s="40">
        <v>370370</v>
      </c>
      <c r="J200" s="41">
        <v>7.75</v>
      </c>
      <c r="L200" s="39" t="s">
        <v>27</v>
      </c>
      <c r="M200" s="38">
        <f t="shared" si="3"/>
        <v>29.6991176470588</v>
      </c>
    </row>
    <row r="201" customHeight="1" spans="1:13">
      <c r="A201" s="39">
        <v>200</v>
      </c>
      <c r="B201" s="39">
        <v>0</v>
      </c>
      <c r="C201" s="39">
        <v>2</v>
      </c>
      <c r="D201" s="40" t="s">
        <v>306</v>
      </c>
      <c r="E201" s="40" t="s">
        <v>17</v>
      </c>
      <c r="F201" s="39">
        <v>24</v>
      </c>
      <c r="G201" s="39">
        <v>0</v>
      </c>
      <c r="H201" s="39">
        <v>0</v>
      </c>
      <c r="I201" s="40">
        <v>248747</v>
      </c>
      <c r="J201" s="41">
        <v>13</v>
      </c>
      <c r="L201" s="39" t="s">
        <v>15</v>
      </c>
      <c r="M201" s="38">
        <f t="shared" si="3"/>
        <v>24</v>
      </c>
    </row>
    <row r="202" customHeight="1" spans="1:13">
      <c r="A202" s="39">
        <v>201</v>
      </c>
      <c r="B202" s="39">
        <v>0</v>
      </c>
      <c r="C202" s="39">
        <v>3</v>
      </c>
      <c r="D202" s="40" t="s">
        <v>307</v>
      </c>
      <c r="E202" s="40" t="s">
        <v>13</v>
      </c>
      <c r="F202" s="39">
        <v>28</v>
      </c>
      <c r="G202" s="39">
        <v>0</v>
      </c>
      <c r="H202" s="39">
        <v>0</v>
      </c>
      <c r="I202" s="40">
        <v>345770</v>
      </c>
      <c r="J202" s="41">
        <v>9.5</v>
      </c>
      <c r="L202" s="39" t="s">
        <v>15</v>
      </c>
      <c r="M202" s="38">
        <f t="shared" si="3"/>
        <v>28</v>
      </c>
    </row>
    <row r="203" customHeight="1" spans="1:13">
      <c r="A203" s="39">
        <v>202</v>
      </c>
      <c r="B203" s="39">
        <v>0</v>
      </c>
      <c r="C203" s="39">
        <v>3</v>
      </c>
      <c r="D203" s="40" t="s">
        <v>308</v>
      </c>
      <c r="E203" s="40" t="s">
        <v>13</v>
      </c>
      <c r="G203" s="39">
        <v>8</v>
      </c>
      <c r="H203" s="39">
        <v>2</v>
      </c>
      <c r="I203" s="40" t="s">
        <v>251</v>
      </c>
      <c r="J203" s="41">
        <v>69.55</v>
      </c>
      <c r="L203" s="39" t="s">
        <v>15</v>
      </c>
      <c r="M203" s="38">
        <f t="shared" si="3"/>
        <v>29.6991176470588</v>
      </c>
    </row>
    <row r="204" customHeight="1" spans="1:13">
      <c r="A204" s="39">
        <v>203</v>
      </c>
      <c r="B204" s="39">
        <v>0</v>
      </c>
      <c r="C204" s="39">
        <v>3</v>
      </c>
      <c r="D204" s="40" t="s">
        <v>309</v>
      </c>
      <c r="E204" s="40" t="s">
        <v>13</v>
      </c>
      <c r="F204" s="39">
        <v>34</v>
      </c>
      <c r="G204" s="39">
        <v>0</v>
      </c>
      <c r="H204" s="39">
        <v>0</v>
      </c>
      <c r="I204" s="40">
        <v>3101264</v>
      </c>
      <c r="J204" s="41">
        <v>6.4958</v>
      </c>
      <c r="L204" s="39" t="s">
        <v>15</v>
      </c>
      <c r="M204" s="38">
        <f t="shared" si="3"/>
        <v>34</v>
      </c>
    </row>
    <row r="205" customHeight="1" spans="1:13">
      <c r="A205" s="39">
        <v>204</v>
      </c>
      <c r="B205" s="39">
        <v>0</v>
      </c>
      <c r="C205" s="39">
        <v>3</v>
      </c>
      <c r="D205" s="40" t="s">
        <v>310</v>
      </c>
      <c r="E205" s="40" t="s">
        <v>13</v>
      </c>
      <c r="F205" s="39">
        <v>45.5</v>
      </c>
      <c r="G205" s="39">
        <v>0</v>
      </c>
      <c r="H205" s="39">
        <v>0</v>
      </c>
      <c r="I205" s="40">
        <v>2628</v>
      </c>
      <c r="J205" s="41">
        <v>7.225</v>
      </c>
      <c r="L205" s="39" t="s">
        <v>20</v>
      </c>
      <c r="M205" s="38">
        <f t="shared" si="3"/>
        <v>45.5</v>
      </c>
    </row>
    <row r="206" customHeight="1" spans="1:13">
      <c r="A206" s="39">
        <v>205</v>
      </c>
      <c r="B206" s="39">
        <v>1</v>
      </c>
      <c r="C206" s="39">
        <v>3</v>
      </c>
      <c r="D206" s="40" t="s">
        <v>311</v>
      </c>
      <c r="E206" s="40" t="s">
        <v>13</v>
      </c>
      <c r="F206" s="39">
        <v>18</v>
      </c>
      <c r="G206" s="39">
        <v>0</v>
      </c>
      <c r="H206" s="39">
        <v>0</v>
      </c>
      <c r="I206" s="40" t="s">
        <v>312</v>
      </c>
      <c r="J206" s="41">
        <v>8.05</v>
      </c>
      <c r="L206" s="39" t="s">
        <v>15</v>
      </c>
      <c r="M206" s="38">
        <f t="shared" si="3"/>
        <v>18</v>
      </c>
    </row>
    <row r="207" customHeight="1" spans="1:13">
      <c r="A207" s="39">
        <v>206</v>
      </c>
      <c r="B207" s="39">
        <v>0</v>
      </c>
      <c r="C207" s="39">
        <v>3</v>
      </c>
      <c r="D207" s="40" t="s">
        <v>313</v>
      </c>
      <c r="E207" s="40" t="s">
        <v>17</v>
      </c>
      <c r="F207" s="39">
        <v>2</v>
      </c>
      <c r="G207" s="39">
        <v>0</v>
      </c>
      <c r="H207" s="39">
        <v>1</v>
      </c>
      <c r="I207" s="40">
        <v>347054</v>
      </c>
      <c r="J207" s="41">
        <v>10.4625</v>
      </c>
      <c r="K207" s="42" t="s">
        <v>35</v>
      </c>
      <c r="L207" s="39" t="s">
        <v>15</v>
      </c>
      <c r="M207" s="38">
        <f t="shared" si="3"/>
        <v>2</v>
      </c>
    </row>
    <row r="208" customHeight="1" spans="1:13">
      <c r="A208" s="39">
        <v>207</v>
      </c>
      <c r="B208" s="39">
        <v>0</v>
      </c>
      <c r="C208" s="39">
        <v>3</v>
      </c>
      <c r="D208" s="40" t="s">
        <v>314</v>
      </c>
      <c r="E208" s="40" t="s">
        <v>13</v>
      </c>
      <c r="F208" s="39">
        <v>32</v>
      </c>
      <c r="G208" s="39">
        <v>1</v>
      </c>
      <c r="H208" s="39">
        <v>0</v>
      </c>
      <c r="I208" s="40">
        <v>3101278</v>
      </c>
      <c r="J208" s="41">
        <v>15.85</v>
      </c>
      <c r="L208" s="39" t="s">
        <v>15</v>
      </c>
      <c r="M208" s="38">
        <f t="shared" si="3"/>
        <v>32</v>
      </c>
    </row>
    <row r="209" customHeight="1" spans="1:13">
      <c r="A209" s="39">
        <v>208</v>
      </c>
      <c r="B209" s="39">
        <v>1</v>
      </c>
      <c r="C209" s="39">
        <v>3</v>
      </c>
      <c r="D209" s="40" t="s">
        <v>315</v>
      </c>
      <c r="E209" s="40" t="s">
        <v>13</v>
      </c>
      <c r="F209" s="39">
        <v>26</v>
      </c>
      <c r="G209" s="39">
        <v>0</v>
      </c>
      <c r="H209" s="39">
        <v>0</v>
      </c>
      <c r="I209" s="40">
        <v>2699</v>
      </c>
      <c r="J209" s="41">
        <v>18.7875</v>
      </c>
      <c r="L209" s="39" t="s">
        <v>20</v>
      </c>
      <c r="M209" s="38">
        <f t="shared" si="3"/>
        <v>26</v>
      </c>
    </row>
    <row r="210" customHeight="1" spans="1:13">
      <c r="A210" s="39">
        <v>209</v>
      </c>
      <c r="B210" s="39">
        <v>1</v>
      </c>
      <c r="C210" s="39">
        <v>3</v>
      </c>
      <c r="D210" s="40" t="s">
        <v>316</v>
      </c>
      <c r="E210" s="40" t="s">
        <v>17</v>
      </c>
      <c r="F210" s="39">
        <v>16</v>
      </c>
      <c r="G210" s="39">
        <v>0</v>
      </c>
      <c r="H210" s="39">
        <v>0</v>
      </c>
      <c r="I210" s="40">
        <v>367231</v>
      </c>
      <c r="J210" s="41">
        <v>7.75</v>
      </c>
      <c r="L210" s="39" t="s">
        <v>27</v>
      </c>
      <c r="M210" s="38">
        <f t="shared" si="3"/>
        <v>16</v>
      </c>
    </row>
    <row r="211" customHeight="1" spans="1:13">
      <c r="A211" s="39">
        <v>210</v>
      </c>
      <c r="B211" s="39">
        <v>1</v>
      </c>
      <c r="C211" s="39">
        <v>1</v>
      </c>
      <c r="D211" s="40" t="s">
        <v>317</v>
      </c>
      <c r="E211" s="40" t="s">
        <v>13</v>
      </c>
      <c r="F211" s="39">
        <v>40</v>
      </c>
      <c r="G211" s="39">
        <v>0</v>
      </c>
      <c r="H211" s="39">
        <v>0</v>
      </c>
      <c r="I211" s="40">
        <v>112277</v>
      </c>
      <c r="J211" s="41">
        <v>31</v>
      </c>
      <c r="K211" s="42" t="s">
        <v>318</v>
      </c>
      <c r="L211" s="39" t="s">
        <v>20</v>
      </c>
      <c r="M211" s="38">
        <f t="shared" si="3"/>
        <v>40</v>
      </c>
    </row>
    <row r="212" customHeight="1" spans="1:13">
      <c r="A212" s="39">
        <v>211</v>
      </c>
      <c r="B212" s="39">
        <v>0</v>
      </c>
      <c r="C212" s="39">
        <v>3</v>
      </c>
      <c r="D212" s="40" t="s">
        <v>319</v>
      </c>
      <c r="E212" s="40" t="s">
        <v>13</v>
      </c>
      <c r="F212" s="39">
        <v>24</v>
      </c>
      <c r="G212" s="39">
        <v>0</v>
      </c>
      <c r="H212" s="39">
        <v>0</v>
      </c>
      <c r="I212" s="40" t="s">
        <v>320</v>
      </c>
      <c r="J212" s="41">
        <v>7.05</v>
      </c>
      <c r="L212" s="39" t="s">
        <v>15</v>
      </c>
      <c r="M212" s="38">
        <f t="shared" si="3"/>
        <v>24</v>
      </c>
    </row>
    <row r="213" customHeight="1" spans="1:13">
      <c r="A213" s="39">
        <v>212</v>
      </c>
      <c r="B213" s="39">
        <v>1</v>
      </c>
      <c r="C213" s="39">
        <v>2</v>
      </c>
      <c r="D213" s="40" t="s">
        <v>321</v>
      </c>
      <c r="E213" s="40" t="s">
        <v>17</v>
      </c>
      <c r="F213" s="39">
        <v>35</v>
      </c>
      <c r="G213" s="39">
        <v>0</v>
      </c>
      <c r="H213" s="39">
        <v>0</v>
      </c>
      <c r="I213" s="40" t="s">
        <v>322</v>
      </c>
      <c r="J213" s="41">
        <v>21</v>
      </c>
      <c r="L213" s="39" t="s">
        <v>15</v>
      </c>
      <c r="M213" s="38">
        <f t="shared" si="3"/>
        <v>35</v>
      </c>
    </row>
    <row r="214" customHeight="1" spans="1:13">
      <c r="A214" s="39">
        <v>213</v>
      </c>
      <c r="B214" s="39">
        <v>0</v>
      </c>
      <c r="C214" s="39">
        <v>3</v>
      </c>
      <c r="D214" s="40" t="s">
        <v>323</v>
      </c>
      <c r="E214" s="40" t="s">
        <v>13</v>
      </c>
      <c r="F214" s="39">
        <v>22</v>
      </c>
      <c r="G214" s="39">
        <v>0</v>
      </c>
      <c r="H214" s="39">
        <v>0</v>
      </c>
      <c r="I214" s="40" t="s">
        <v>324</v>
      </c>
      <c r="J214" s="41">
        <v>7.25</v>
      </c>
      <c r="L214" s="39" t="s">
        <v>15</v>
      </c>
      <c r="M214" s="38">
        <f t="shared" si="3"/>
        <v>22</v>
      </c>
    </row>
    <row r="215" customHeight="1" spans="1:13">
      <c r="A215" s="39">
        <v>214</v>
      </c>
      <c r="B215" s="39">
        <v>0</v>
      </c>
      <c r="C215" s="39">
        <v>2</v>
      </c>
      <c r="D215" s="40" t="s">
        <v>325</v>
      </c>
      <c r="E215" s="40" t="s">
        <v>13</v>
      </c>
      <c r="F215" s="39">
        <v>30</v>
      </c>
      <c r="G215" s="39">
        <v>0</v>
      </c>
      <c r="H215" s="39">
        <v>0</v>
      </c>
      <c r="I215" s="40">
        <v>250646</v>
      </c>
      <c r="J215" s="41">
        <v>13</v>
      </c>
      <c r="L215" s="39" t="s">
        <v>15</v>
      </c>
      <c r="M215" s="38">
        <f t="shared" si="3"/>
        <v>30</v>
      </c>
    </row>
    <row r="216" customHeight="1" spans="1:13">
      <c r="A216" s="39">
        <v>215</v>
      </c>
      <c r="B216" s="39">
        <v>0</v>
      </c>
      <c r="C216" s="39">
        <v>3</v>
      </c>
      <c r="D216" s="40" t="s">
        <v>326</v>
      </c>
      <c r="E216" s="40" t="s">
        <v>13</v>
      </c>
      <c r="G216" s="39">
        <v>1</v>
      </c>
      <c r="H216" s="39">
        <v>0</v>
      </c>
      <c r="I216" s="40">
        <v>367229</v>
      </c>
      <c r="J216" s="41">
        <v>7.75</v>
      </c>
      <c r="L216" s="39" t="s">
        <v>27</v>
      </c>
      <c r="M216" s="38">
        <f t="shared" si="3"/>
        <v>29.6991176470588</v>
      </c>
    </row>
    <row r="217" customHeight="1" spans="1:13">
      <c r="A217" s="39">
        <v>216</v>
      </c>
      <c r="B217" s="39">
        <v>1</v>
      </c>
      <c r="C217" s="39">
        <v>1</v>
      </c>
      <c r="D217" s="40" t="s">
        <v>327</v>
      </c>
      <c r="E217" s="40" t="s">
        <v>17</v>
      </c>
      <c r="F217" s="39">
        <v>31</v>
      </c>
      <c r="G217" s="39">
        <v>1</v>
      </c>
      <c r="H217" s="39">
        <v>0</v>
      </c>
      <c r="I217" s="40">
        <v>35273</v>
      </c>
      <c r="J217" s="41">
        <v>113.275</v>
      </c>
      <c r="K217" s="42" t="s">
        <v>328</v>
      </c>
      <c r="L217" s="39" t="s">
        <v>20</v>
      </c>
      <c r="M217" s="38">
        <f t="shared" si="3"/>
        <v>31</v>
      </c>
    </row>
    <row r="218" customHeight="1" spans="1:13">
      <c r="A218" s="39">
        <v>217</v>
      </c>
      <c r="B218" s="39">
        <v>1</v>
      </c>
      <c r="C218" s="39">
        <v>3</v>
      </c>
      <c r="D218" s="40" t="s">
        <v>329</v>
      </c>
      <c r="E218" s="40" t="s">
        <v>17</v>
      </c>
      <c r="F218" s="39">
        <v>27</v>
      </c>
      <c r="G218" s="39">
        <v>0</v>
      </c>
      <c r="H218" s="39">
        <v>0</v>
      </c>
      <c r="I218" s="40" t="s">
        <v>330</v>
      </c>
      <c r="J218" s="41">
        <v>7.925</v>
      </c>
      <c r="L218" s="39" t="s">
        <v>15</v>
      </c>
      <c r="M218" s="38">
        <f t="shared" si="3"/>
        <v>27</v>
      </c>
    </row>
    <row r="219" customHeight="1" spans="1:13">
      <c r="A219" s="39">
        <v>218</v>
      </c>
      <c r="B219" s="39">
        <v>0</v>
      </c>
      <c r="C219" s="39">
        <v>2</v>
      </c>
      <c r="D219" s="40" t="s">
        <v>331</v>
      </c>
      <c r="E219" s="40" t="s">
        <v>13</v>
      </c>
      <c r="F219" s="39">
        <v>42</v>
      </c>
      <c r="G219" s="39">
        <v>1</v>
      </c>
      <c r="H219" s="39">
        <v>0</v>
      </c>
      <c r="I219" s="40">
        <v>243847</v>
      </c>
      <c r="J219" s="41">
        <v>27</v>
      </c>
      <c r="L219" s="39" t="s">
        <v>15</v>
      </c>
      <c r="M219" s="38">
        <f t="shared" si="3"/>
        <v>42</v>
      </c>
    </row>
    <row r="220" customHeight="1" spans="1:13">
      <c r="A220" s="39">
        <v>219</v>
      </c>
      <c r="B220" s="39">
        <v>1</v>
      </c>
      <c r="C220" s="39">
        <v>1</v>
      </c>
      <c r="D220" s="40" t="s">
        <v>332</v>
      </c>
      <c r="E220" s="40" t="s">
        <v>17</v>
      </c>
      <c r="F220" s="39">
        <v>32</v>
      </c>
      <c r="G220" s="39">
        <v>0</v>
      </c>
      <c r="H220" s="39">
        <v>0</v>
      </c>
      <c r="I220" s="40">
        <v>11813</v>
      </c>
      <c r="J220" s="41">
        <v>76.2917</v>
      </c>
      <c r="K220" s="42" t="s">
        <v>333</v>
      </c>
      <c r="L220" s="39" t="s">
        <v>20</v>
      </c>
      <c r="M220" s="38">
        <f t="shared" si="3"/>
        <v>32</v>
      </c>
    </row>
    <row r="221" customHeight="1" spans="1:13">
      <c r="A221" s="39">
        <v>220</v>
      </c>
      <c r="B221" s="39">
        <v>0</v>
      </c>
      <c r="C221" s="39">
        <v>2</v>
      </c>
      <c r="D221" s="40" t="s">
        <v>334</v>
      </c>
      <c r="E221" s="40" t="s">
        <v>13</v>
      </c>
      <c r="F221" s="39">
        <v>30</v>
      </c>
      <c r="G221" s="39">
        <v>0</v>
      </c>
      <c r="H221" s="39">
        <v>0</v>
      </c>
      <c r="I221" s="40" t="s">
        <v>335</v>
      </c>
      <c r="J221" s="41">
        <v>10.5</v>
      </c>
      <c r="L221" s="39" t="s">
        <v>15</v>
      </c>
      <c r="M221" s="38">
        <f t="shared" si="3"/>
        <v>30</v>
      </c>
    </row>
    <row r="222" customHeight="1" spans="1:13">
      <c r="A222" s="39">
        <v>221</v>
      </c>
      <c r="B222" s="39">
        <v>1</v>
      </c>
      <c r="C222" s="39">
        <v>3</v>
      </c>
      <c r="D222" s="40" t="s">
        <v>336</v>
      </c>
      <c r="E222" s="40" t="s">
        <v>13</v>
      </c>
      <c r="F222" s="39">
        <v>16</v>
      </c>
      <c r="G222" s="39">
        <v>0</v>
      </c>
      <c r="H222" s="39">
        <v>0</v>
      </c>
      <c r="I222" s="40" t="s">
        <v>337</v>
      </c>
      <c r="J222" s="41">
        <v>8.05</v>
      </c>
      <c r="L222" s="39" t="s">
        <v>15</v>
      </c>
      <c r="M222" s="38">
        <f t="shared" si="3"/>
        <v>16</v>
      </c>
    </row>
    <row r="223" customHeight="1" spans="1:13">
      <c r="A223" s="39">
        <v>222</v>
      </c>
      <c r="B223" s="39">
        <v>0</v>
      </c>
      <c r="C223" s="39">
        <v>2</v>
      </c>
      <c r="D223" s="40" t="s">
        <v>338</v>
      </c>
      <c r="E223" s="40" t="s">
        <v>13</v>
      </c>
      <c r="F223" s="39">
        <v>27</v>
      </c>
      <c r="G223" s="39">
        <v>0</v>
      </c>
      <c r="H223" s="39">
        <v>0</v>
      </c>
      <c r="I223" s="40">
        <v>220367</v>
      </c>
      <c r="J223" s="41">
        <v>13</v>
      </c>
      <c r="L223" s="39" t="s">
        <v>15</v>
      </c>
      <c r="M223" s="38">
        <f t="shared" si="3"/>
        <v>27</v>
      </c>
    </row>
    <row r="224" customHeight="1" spans="1:13">
      <c r="A224" s="39">
        <v>223</v>
      </c>
      <c r="B224" s="39">
        <v>0</v>
      </c>
      <c r="C224" s="39">
        <v>3</v>
      </c>
      <c r="D224" s="40" t="s">
        <v>339</v>
      </c>
      <c r="E224" s="40" t="s">
        <v>13</v>
      </c>
      <c r="F224" s="39">
        <v>51</v>
      </c>
      <c r="G224" s="39">
        <v>0</v>
      </c>
      <c r="H224" s="39">
        <v>0</v>
      </c>
      <c r="I224" s="40">
        <v>21440</v>
      </c>
      <c r="J224" s="41">
        <v>8.05</v>
      </c>
      <c r="L224" s="39" t="s">
        <v>15</v>
      </c>
      <c r="M224" s="38">
        <f t="shared" si="3"/>
        <v>51</v>
      </c>
    </row>
    <row r="225" customHeight="1" spans="1:13">
      <c r="A225" s="39">
        <v>224</v>
      </c>
      <c r="B225" s="39">
        <v>0</v>
      </c>
      <c r="C225" s="39">
        <v>3</v>
      </c>
      <c r="D225" s="40" t="s">
        <v>340</v>
      </c>
      <c r="E225" s="40" t="s">
        <v>13</v>
      </c>
      <c r="G225" s="39">
        <v>0</v>
      </c>
      <c r="H225" s="39">
        <v>0</v>
      </c>
      <c r="I225" s="40">
        <v>349234</v>
      </c>
      <c r="J225" s="41">
        <v>7.8958</v>
      </c>
      <c r="L225" s="39" t="s">
        <v>15</v>
      </c>
      <c r="M225" s="38">
        <f t="shared" si="3"/>
        <v>29.6991176470588</v>
      </c>
    </row>
    <row r="226" customHeight="1" spans="1:13">
      <c r="A226" s="39">
        <v>225</v>
      </c>
      <c r="B226" s="39">
        <v>1</v>
      </c>
      <c r="C226" s="39">
        <v>1</v>
      </c>
      <c r="D226" s="40" t="s">
        <v>341</v>
      </c>
      <c r="E226" s="40" t="s">
        <v>13</v>
      </c>
      <c r="F226" s="39">
        <v>38</v>
      </c>
      <c r="G226" s="39">
        <v>1</v>
      </c>
      <c r="H226" s="39">
        <v>0</v>
      </c>
      <c r="I226" s="40">
        <v>19943</v>
      </c>
      <c r="J226" s="41">
        <v>90</v>
      </c>
      <c r="K226" s="42" t="s">
        <v>342</v>
      </c>
      <c r="L226" s="39" t="s">
        <v>15</v>
      </c>
      <c r="M226" s="38">
        <f t="shared" si="3"/>
        <v>38</v>
      </c>
    </row>
    <row r="227" customHeight="1" spans="1:13">
      <c r="A227" s="39">
        <v>226</v>
      </c>
      <c r="B227" s="39">
        <v>0</v>
      </c>
      <c r="C227" s="39">
        <v>3</v>
      </c>
      <c r="D227" s="40" t="s">
        <v>343</v>
      </c>
      <c r="E227" s="40" t="s">
        <v>13</v>
      </c>
      <c r="F227" s="39">
        <v>22</v>
      </c>
      <c r="G227" s="39">
        <v>0</v>
      </c>
      <c r="H227" s="39">
        <v>0</v>
      </c>
      <c r="I227" s="40" t="s">
        <v>344</v>
      </c>
      <c r="J227" s="41">
        <v>9.35</v>
      </c>
      <c r="L227" s="39" t="s">
        <v>15</v>
      </c>
      <c r="M227" s="38">
        <f t="shared" si="3"/>
        <v>22</v>
      </c>
    </row>
    <row r="228" customHeight="1" spans="1:13">
      <c r="A228" s="39">
        <v>227</v>
      </c>
      <c r="B228" s="39">
        <v>1</v>
      </c>
      <c r="C228" s="39">
        <v>2</v>
      </c>
      <c r="D228" s="40" t="s">
        <v>345</v>
      </c>
      <c r="E228" s="40" t="s">
        <v>13</v>
      </c>
      <c r="F228" s="39">
        <v>19</v>
      </c>
      <c r="G228" s="39">
        <v>0</v>
      </c>
      <c r="H228" s="39">
        <v>0</v>
      </c>
      <c r="I228" s="40" t="s">
        <v>346</v>
      </c>
      <c r="J228" s="41">
        <v>10.5</v>
      </c>
      <c r="L228" s="39" t="s">
        <v>15</v>
      </c>
      <c r="M228" s="38">
        <f t="shared" si="3"/>
        <v>19</v>
      </c>
    </row>
    <row r="229" customHeight="1" spans="1:13">
      <c r="A229" s="39">
        <v>228</v>
      </c>
      <c r="B229" s="39">
        <v>0</v>
      </c>
      <c r="C229" s="39">
        <v>3</v>
      </c>
      <c r="D229" s="40" t="s">
        <v>347</v>
      </c>
      <c r="E229" s="40" t="s">
        <v>13</v>
      </c>
      <c r="F229" s="39">
        <v>20.5</v>
      </c>
      <c r="G229" s="39">
        <v>0</v>
      </c>
      <c r="H229" s="39">
        <v>0</v>
      </c>
      <c r="I229" s="40" t="s">
        <v>348</v>
      </c>
      <c r="J229" s="41">
        <v>7.25</v>
      </c>
      <c r="L229" s="39" t="s">
        <v>15</v>
      </c>
      <c r="M229" s="38">
        <f t="shared" si="3"/>
        <v>20.5</v>
      </c>
    </row>
    <row r="230" customHeight="1" spans="1:13">
      <c r="A230" s="39">
        <v>229</v>
      </c>
      <c r="B230" s="39">
        <v>0</v>
      </c>
      <c r="C230" s="39">
        <v>2</v>
      </c>
      <c r="D230" s="40" t="s">
        <v>349</v>
      </c>
      <c r="E230" s="40" t="s">
        <v>13</v>
      </c>
      <c r="F230" s="39">
        <v>18</v>
      </c>
      <c r="G230" s="39">
        <v>0</v>
      </c>
      <c r="H230" s="39">
        <v>0</v>
      </c>
      <c r="I230" s="40">
        <v>236171</v>
      </c>
      <c r="J230" s="41">
        <v>13</v>
      </c>
      <c r="L230" s="39" t="s">
        <v>15</v>
      </c>
      <c r="M230" s="38">
        <f t="shared" si="3"/>
        <v>18</v>
      </c>
    </row>
    <row r="231" customHeight="1" spans="1:13">
      <c r="A231" s="39">
        <v>230</v>
      </c>
      <c r="B231" s="39">
        <v>0</v>
      </c>
      <c r="C231" s="39">
        <v>3</v>
      </c>
      <c r="D231" s="40" t="s">
        <v>350</v>
      </c>
      <c r="E231" s="40" t="s">
        <v>17</v>
      </c>
      <c r="G231" s="39">
        <v>3</v>
      </c>
      <c r="H231" s="39">
        <v>1</v>
      </c>
      <c r="I231" s="40">
        <v>4133</v>
      </c>
      <c r="J231" s="41">
        <v>25.4667</v>
      </c>
      <c r="L231" s="39" t="s">
        <v>15</v>
      </c>
      <c r="M231" s="38">
        <f t="shared" si="3"/>
        <v>29.6991176470588</v>
      </c>
    </row>
    <row r="232" customHeight="1" spans="1:13">
      <c r="A232" s="39">
        <v>231</v>
      </c>
      <c r="B232" s="39">
        <v>1</v>
      </c>
      <c r="C232" s="39">
        <v>1</v>
      </c>
      <c r="D232" s="40" t="s">
        <v>351</v>
      </c>
      <c r="E232" s="40" t="s">
        <v>17</v>
      </c>
      <c r="F232" s="39">
        <v>35</v>
      </c>
      <c r="G232" s="39">
        <v>1</v>
      </c>
      <c r="H232" s="39">
        <v>0</v>
      </c>
      <c r="I232" s="40">
        <v>36973</v>
      </c>
      <c r="J232" s="41">
        <v>83.475</v>
      </c>
      <c r="K232" s="42" t="s">
        <v>110</v>
      </c>
      <c r="L232" s="39" t="s">
        <v>15</v>
      </c>
      <c r="M232" s="38">
        <f t="shared" si="3"/>
        <v>35</v>
      </c>
    </row>
    <row r="233" customHeight="1" spans="1:13">
      <c r="A233" s="39">
        <v>232</v>
      </c>
      <c r="B233" s="39">
        <v>0</v>
      </c>
      <c r="C233" s="39">
        <v>3</v>
      </c>
      <c r="D233" s="40" t="s">
        <v>352</v>
      </c>
      <c r="E233" s="40" t="s">
        <v>13</v>
      </c>
      <c r="F233" s="39">
        <v>29</v>
      </c>
      <c r="G233" s="39">
        <v>0</v>
      </c>
      <c r="H233" s="39">
        <v>0</v>
      </c>
      <c r="I233" s="40">
        <v>347067</v>
      </c>
      <c r="J233" s="41">
        <v>7.775</v>
      </c>
      <c r="L233" s="39" t="s">
        <v>15</v>
      </c>
      <c r="M233" s="38">
        <f t="shared" si="3"/>
        <v>29</v>
      </c>
    </row>
    <row r="234" customHeight="1" spans="1:13">
      <c r="A234" s="39">
        <v>233</v>
      </c>
      <c r="B234" s="39">
        <v>0</v>
      </c>
      <c r="C234" s="39">
        <v>2</v>
      </c>
      <c r="D234" s="40" t="s">
        <v>353</v>
      </c>
      <c r="E234" s="40" t="s">
        <v>13</v>
      </c>
      <c r="F234" s="39">
        <v>59</v>
      </c>
      <c r="G234" s="39">
        <v>0</v>
      </c>
      <c r="H234" s="39">
        <v>0</v>
      </c>
      <c r="I234" s="40">
        <v>237442</v>
      </c>
      <c r="J234" s="41">
        <v>13.5</v>
      </c>
      <c r="L234" s="39" t="s">
        <v>15</v>
      </c>
      <c r="M234" s="38">
        <f t="shared" si="3"/>
        <v>59</v>
      </c>
    </row>
    <row r="235" customHeight="1" spans="1:13">
      <c r="A235" s="39">
        <v>234</v>
      </c>
      <c r="B235" s="39">
        <v>1</v>
      </c>
      <c r="C235" s="39">
        <v>3</v>
      </c>
      <c r="D235" s="40" t="s">
        <v>354</v>
      </c>
      <c r="E235" s="40" t="s">
        <v>17</v>
      </c>
      <c r="F235" s="39">
        <v>5</v>
      </c>
      <c r="G235" s="39">
        <v>4</v>
      </c>
      <c r="H235" s="39">
        <v>2</v>
      </c>
      <c r="I235" s="40">
        <v>347077</v>
      </c>
      <c r="J235" s="41">
        <v>31.3875</v>
      </c>
      <c r="L235" s="39" t="s">
        <v>15</v>
      </c>
      <c r="M235" s="38">
        <f t="shared" si="3"/>
        <v>5</v>
      </c>
    </row>
    <row r="236" customHeight="1" spans="1:13">
      <c r="A236" s="39">
        <v>235</v>
      </c>
      <c r="B236" s="39">
        <v>0</v>
      </c>
      <c r="C236" s="39">
        <v>2</v>
      </c>
      <c r="D236" s="40" t="s">
        <v>355</v>
      </c>
      <c r="E236" s="40" t="s">
        <v>13</v>
      </c>
      <c r="F236" s="39">
        <v>24</v>
      </c>
      <c r="G236" s="39">
        <v>0</v>
      </c>
      <c r="H236" s="39">
        <v>0</v>
      </c>
      <c r="I236" s="40" t="s">
        <v>356</v>
      </c>
      <c r="J236" s="41">
        <v>10.5</v>
      </c>
      <c r="L236" s="39" t="s">
        <v>15</v>
      </c>
      <c r="M236" s="38">
        <f t="shared" si="3"/>
        <v>24</v>
      </c>
    </row>
    <row r="237" customHeight="1" spans="1:13">
      <c r="A237" s="39">
        <v>236</v>
      </c>
      <c r="B237" s="39">
        <v>0</v>
      </c>
      <c r="C237" s="39">
        <v>3</v>
      </c>
      <c r="D237" s="40" t="s">
        <v>357</v>
      </c>
      <c r="E237" s="40" t="s">
        <v>17</v>
      </c>
      <c r="G237" s="39">
        <v>0</v>
      </c>
      <c r="H237" s="39">
        <v>0</v>
      </c>
      <c r="I237" s="40" t="s">
        <v>358</v>
      </c>
      <c r="J237" s="41">
        <v>7.55</v>
      </c>
      <c r="L237" s="39" t="s">
        <v>15</v>
      </c>
      <c r="M237" s="38">
        <f t="shared" si="3"/>
        <v>29.6991176470588</v>
      </c>
    </row>
    <row r="238" customHeight="1" spans="1:13">
      <c r="A238" s="39">
        <v>237</v>
      </c>
      <c r="B238" s="39">
        <v>0</v>
      </c>
      <c r="C238" s="39">
        <v>2</v>
      </c>
      <c r="D238" s="40" t="s">
        <v>359</v>
      </c>
      <c r="E238" s="40" t="s">
        <v>13</v>
      </c>
      <c r="F238" s="39">
        <v>44</v>
      </c>
      <c r="G238" s="39">
        <v>1</v>
      </c>
      <c r="H238" s="39">
        <v>0</v>
      </c>
      <c r="I238" s="40">
        <v>26707</v>
      </c>
      <c r="J238" s="41">
        <v>26</v>
      </c>
      <c r="L238" s="39" t="s">
        <v>15</v>
      </c>
      <c r="M238" s="38">
        <f t="shared" si="3"/>
        <v>44</v>
      </c>
    </row>
    <row r="239" customHeight="1" spans="1:13">
      <c r="A239" s="39">
        <v>238</v>
      </c>
      <c r="B239" s="39">
        <v>1</v>
      </c>
      <c r="C239" s="39">
        <v>2</v>
      </c>
      <c r="D239" s="40" t="s">
        <v>360</v>
      </c>
      <c r="E239" s="40" t="s">
        <v>17</v>
      </c>
      <c r="F239" s="39">
        <v>8</v>
      </c>
      <c r="G239" s="39">
        <v>0</v>
      </c>
      <c r="H239" s="39">
        <v>2</v>
      </c>
      <c r="I239" s="40" t="s">
        <v>361</v>
      </c>
      <c r="J239" s="41">
        <v>26.25</v>
      </c>
      <c r="L239" s="39" t="s">
        <v>15</v>
      </c>
      <c r="M239" s="38">
        <f t="shared" si="3"/>
        <v>8</v>
      </c>
    </row>
    <row r="240" customHeight="1" spans="1:13">
      <c r="A240" s="39">
        <v>239</v>
      </c>
      <c r="B240" s="39">
        <v>0</v>
      </c>
      <c r="C240" s="39">
        <v>2</v>
      </c>
      <c r="D240" s="40" t="s">
        <v>362</v>
      </c>
      <c r="E240" s="40" t="s">
        <v>13</v>
      </c>
      <c r="F240" s="39">
        <v>19</v>
      </c>
      <c r="G240" s="39">
        <v>0</v>
      </c>
      <c r="H240" s="39">
        <v>0</v>
      </c>
      <c r="I240" s="40">
        <v>28665</v>
      </c>
      <c r="J240" s="41">
        <v>10.5</v>
      </c>
      <c r="L240" s="39" t="s">
        <v>15</v>
      </c>
      <c r="M240" s="38">
        <f t="shared" si="3"/>
        <v>19</v>
      </c>
    </row>
    <row r="241" customHeight="1" spans="1:13">
      <c r="A241" s="39">
        <v>240</v>
      </c>
      <c r="B241" s="39">
        <v>0</v>
      </c>
      <c r="C241" s="39">
        <v>2</v>
      </c>
      <c r="D241" s="40" t="s">
        <v>363</v>
      </c>
      <c r="E241" s="40" t="s">
        <v>13</v>
      </c>
      <c r="F241" s="39">
        <v>33</v>
      </c>
      <c r="G241" s="39">
        <v>0</v>
      </c>
      <c r="H241" s="39">
        <v>0</v>
      </c>
      <c r="I241" s="40" t="s">
        <v>364</v>
      </c>
      <c r="J241" s="41">
        <v>12.275</v>
      </c>
      <c r="L241" s="39" t="s">
        <v>15</v>
      </c>
      <c r="M241" s="38">
        <f t="shared" si="3"/>
        <v>33</v>
      </c>
    </row>
    <row r="242" customHeight="1" spans="1:13">
      <c r="A242" s="39">
        <v>241</v>
      </c>
      <c r="B242" s="39">
        <v>0</v>
      </c>
      <c r="C242" s="39">
        <v>3</v>
      </c>
      <c r="D242" s="40" t="s">
        <v>365</v>
      </c>
      <c r="E242" s="40" t="s">
        <v>17</v>
      </c>
      <c r="G242" s="39">
        <v>1</v>
      </c>
      <c r="H242" s="39">
        <v>0</v>
      </c>
      <c r="I242" s="40">
        <v>2665</v>
      </c>
      <c r="J242" s="41">
        <v>14.4542</v>
      </c>
      <c r="L242" s="39" t="s">
        <v>20</v>
      </c>
      <c r="M242" s="38">
        <f t="shared" si="3"/>
        <v>29.6991176470588</v>
      </c>
    </row>
    <row r="243" customHeight="1" spans="1:13">
      <c r="A243" s="39">
        <v>242</v>
      </c>
      <c r="B243" s="39">
        <v>1</v>
      </c>
      <c r="C243" s="39">
        <v>3</v>
      </c>
      <c r="D243" s="40" t="s">
        <v>366</v>
      </c>
      <c r="E243" s="40" t="s">
        <v>17</v>
      </c>
      <c r="G243" s="39">
        <v>1</v>
      </c>
      <c r="H243" s="39">
        <v>0</v>
      </c>
      <c r="I243" s="40">
        <v>367230</v>
      </c>
      <c r="J243" s="41">
        <v>15.5</v>
      </c>
      <c r="L243" s="39" t="s">
        <v>27</v>
      </c>
      <c r="M243" s="38">
        <f t="shared" si="3"/>
        <v>29.6991176470588</v>
      </c>
    </row>
    <row r="244" customHeight="1" spans="1:13">
      <c r="A244" s="39">
        <v>243</v>
      </c>
      <c r="B244" s="39">
        <v>0</v>
      </c>
      <c r="C244" s="39">
        <v>2</v>
      </c>
      <c r="D244" s="40" t="s">
        <v>367</v>
      </c>
      <c r="E244" s="40" t="s">
        <v>13</v>
      </c>
      <c r="F244" s="39">
        <v>29</v>
      </c>
      <c r="G244" s="39">
        <v>0</v>
      </c>
      <c r="H244" s="39">
        <v>0</v>
      </c>
      <c r="I244" s="40" t="s">
        <v>368</v>
      </c>
      <c r="J244" s="41">
        <v>10.5</v>
      </c>
      <c r="L244" s="39" t="s">
        <v>15</v>
      </c>
      <c r="M244" s="38">
        <f t="shared" si="3"/>
        <v>29</v>
      </c>
    </row>
    <row r="245" customHeight="1" spans="1:13">
      <c r="A245" s="39">
        <v>244</v>
      </c>
      <c r="B245" s="39">
        <v>0</v>
      </c>
      <c r="C245" s="39">
        <v>3</v>
      </c>
      <c r="D245" s="40" t="s">
        <v>369</v>
      </c>
      <c r="E245" s="40" t="s">
        <v>13</v>
      </c>
      <c r="F245" s="39">
        <v>22</v>
      </c>
      <c r="G245" s="39">
        <v>0</v>
      </c>
      <c r="H245" s="39">
        <v>0</v>
      </c>
      <c r="I245" s="40" t="s">
        <v>370</v>
      </c>
      <c r="J245" s="41">
        <v>7.125</v>
      </c>
      <c r="L245" s="39" t="s">
        <v>15</v>
      </c>
      <c r="M245" s="38">
        <f t="shared" si="3"/>
        <v>22</v>
      </c>
    </row>
    <row r="246" customHeight="1" spans="1:13">
      <c r="A246" s="39">
        <v>245</v>
      </c>
      <c r="B246" s="39">
        <v>0</v>
      </c>
      <c r="C246" s="39">
        <v>3</v>
      </c>
      <c r="D246" s="40" t="s">
        <v>371</v>
      </c>
      <c r="E246" s="40" t="s">
        <v>13</v>
      </c>
      <c r="F246" s="39">
        <v>30</v>
      </c>
      <c r="G246" s="39">
        <v>0</v>
      </c>
      <c r="H246" s="39">
        <v>0</v>
      </c>
      <c r="I246" s="40">
        <v>2694</v>
      </c>
      <c r="J246" s="41">
        <v>7.225</v>
      </c>
      <c r="L246" s="39" t="s">
        <v>20</v>
      </c>
      <c r="M246" s="38">
        <f t="shared" si="3"/>
        <v>30</v>
      </c>
    </row>
    <row r="247" customHeight="1" spans="1:13">
      <c r="A247" s="39">
        <v>246</v>
      </c>
      <c r="B247" s="39">
        <v>0</v>
      </c>
      <c r="C247" s="39">
        <v>1</v>
      </c>
      <c r="D247" s="40" t="s">
        <v>372</v>
      </c>
      <c r="E247" s="40" t="s">
        <v>13</v>
      </c>
      <c r="F247" s="39">
        <v>44</v>
      </c>
      <c r="G247" s="39">
        <v>2</v>
      </c>
      <c r="H247" s="39">
        <v>0</v>
      </c>
      <c r="I247" s="40">
        <v>19928</v>
      </c>
      <c r="J247" s="41">
        <v>90</v>
      </c>
      <c r="K247" s="42" t="s">
        <v>373</v>
      </c>
      <c r="L247" s="39" t="s">
        <v>27</v>
      </c>
      <c r="M247" s="38">
        <f t="shared" si="3"/>
        <v>44</v>
      </c>
    </row>
    <row r="248" customHeight="1" spans="1:13">
      <c r="A248" s="39">
        <v>247</v>
      </c>
      <c r="B248" s="39">
        <v>0</v>
      </c>
      <c r="C248" s="39">
        <v>3</v>
      </c>
      <c r="D248" s="40" t="s">
        <v>374</v>
      </c>
      <c r="E248" s="40" t="s">
        <v>17</v>
      </c>
      <c r="F248" s="39">
        <v>25</v>
      </c>
      <c r="G248" s="39">
        <v>0</v>
      </c>
      <c r="H248" s="39">
        <v>0</v>
      </c>
      <c r="I248" s="40">
        <v>347071</v>
      </c>
      <c r="J248" s="41">
        <v>7.775</v>
      </c>
      <c r="L248" s="39" t="s">
        <v>15</v>
      </c>
      <c r="M248" s="38">
        <f t="shared" si="3"/>
        <v>25</v>
      </c>
    </row>
    <row r="249" customHeight="1" spans="1:13">
      <c r="A249" s="39">
        <v>248</v>
      </c>
      <c r="B249" s="39">
        <v>1</v>
      </c>
      <c r="C249" s="39">
        <v>2</v>
      </c>
      <c r="D249" s="40" t="s">
        <v>375</v>
      </c>
      <c r="E249" s="40" t="s">
        <v>17</v>
      </c>
      <c r="F249" s="39">
        <v>24</v>
      </c>
      <c r="G249" s="39">
        <v>0</v>
      </c>
      <c r="H249" s="39">
        <v>2</v>
      </c>
      <c r="I249" s="40">
        <v>250649</v>
      </c>
      <c r="J249" s="41">
        <v>14.5</v>
      </c>
      <c r="L249" s="39" t="s">
        <v>15</v>
      </c>
      <c r="M249" s="38">
        <f t="shared" si="3"/>
        <v>24</v>
      </c>
    </row>
    <row r="250" customHeight="1" spans="1:13">
      <c r="A250" s="39">
        <v>249</v>
      </c>
      <c r="B250" s="39">
        <v>1</v>
      </c>
      <c r="C250" s="39">
        <v>1</v>
      </c>
      <c r="D250" s="40" t="s">
        <v>376</v>
      </c>
      <c r="E250" s="40" t="s">
        <v>13</v>
      </c>
      <c r="F250" s="39">
        <v>37</v>
      </c>
      <c r="G250" s="39">
        <v>1</v>
      </c>
      <c r="H250" s="39">
        <v>1</v>
      </c>
      <c r="I250" s="40">
        <v>11751</v>
      </c>
      <c r="J250" s="41">
        <v>52.5542</v>
      </c>
      <c r="K250" s="42" t="s">
        <v>377</v>
      </c>
      <c r="L250" s="39" t="s">
        <v>15</v>
      </c>
      <c r="M250" s="38">
        <f t="shared" si="3"/>
        <v>37</v>
      </c>
    </row>
    <row r="251" customHeight="1" spans="1:13">
      <c r="A251" s="39">
        <v>250</v>
      </c>
      <c r="B251" s="39">
        <v>0</v>
      </c>
      <c r="C251" s="39">
        <v>2</v>
      </c>
      <c r="D251" s="40" t="s">
        <v>378</v>
      </c>
      <c r="E251" s="40" t="s">
        <v>13</v>
      </c>
      <c r="F251" s="39">
        <v>54</v>
      </c>
      <c r="G251" s="39">
        <v>1</v>
      </c>
      <c r="H251" s="39">
        <v>0</v>
      </c>
      <c r="I251" s="40">
        <v>244252</v>
      </c>
      <c r="J251" s="41">
        <v>26</v>
      </c>
      <c r="L251" s="39" t="s">
        <v>15</v>
      </c>
      <c r="M251" s="38">
        <f t="shared" si="3"/>
        <v>54</v>
      </c>
    </row>
    <row r="252" customHeight="1" spans="1:13">
      <c r="A252" s="39">
        <v>251</v>
      </c>
      <c r="B252" s="39">
        <v>0</v>
      </c>
      <c r="C252" s="39">
        <v>3</v>
      </c>
      <c r="D252" s="40" t="s">
        <v>379</v>
      </c>
      <c r="E252" s="40" t="s">
        <v>13</v>
      </c>
      <c r="G252" s="39">
        <v>0</v>
      </c>
      <c r="H252" s="39">
        <v>0</v>
      </c>
      <c r="I252" s="40">
        <v>362316</v>
      </c>
      <c r="J252" s="41">
        <v>7.25</v>
      </c>
      <c r="L252" s="39" t="s">
        <v>15</v>
      </c>
      <c r="M252" s="38">
        <f t="shared" si="3"/>
        <v>29.6991176470588</v>
      </c>
    </row>
    <row r="253" customHeight="1" spans="1:13">
      <c r="A253" s="39">
        <v>252</v>
      </c>
      <c r="B253" s="39">
        <v>0</v>
      </c>
      <c r="C253" s="39">
        <v>3</v>
      </c>
      <c r="D253" s="40" t="s">
        <v>380</v>
      </c>
      <c r="E253" s="40" t="s">
        <v>17</v>
      </c>
      <c r="F253" s="39">
        <v>29</v>
      </c>
      <c r="G253" s="39">
        <v>1</v>
      </c>
      <c r="H253" s="39">
        <v>1</v>
      </c>
      <c r="I253" s="40">
        <v>347054</v>
      </c>
      <c r="J253" s="41">
        <v>10.4625</v>
      </c>
      <c r="K253" s="42" t="s">
        <v>35</v>
      </c>
      <c r="L253" s="39" t="s">
        <v>15</v>
      </c>
      <c r="M253" s="38">
        <f t="shared" si="3"/>
        <v>29</v>
      </c>
    </row>
    <row r="254" customHeight="1" spans="1:13">
      <c r="A254" s="39">
        <v>253</v>
      </c>
      <c r="B254" s="39">
        <v>0</v>
      </c>
      <c r="C254" s="39">
        <v>1</v>
      </c>
      <c r="D254" s="40" t="s">
        <v>381</v>
      </c>
      <c r="E254" s="40" t="s">
        <v>13</v>
      </c>
      <c r="F254" s="39">
        <v>62</v>
      </c>
      <c r="G254" s="39">
        <v>0</v>
      </c>
      <c r="H254" s="39">
        <v>0</v>
      </c>
      <c r="I254" s="40">
        <v>113514</v>
      </c>
      <c r="J254" s="41">
        <v>26.55</v>
      </c>
      <c r="K254" s="42" t="s">
        <v>382</v>
      </c>
      <c r="L254" s="39" t="s">
        <v>15</v>
      </c>
      <c r="M254" s="38">
        <f t="shared" si="3"/>
        <v>62</v>
      </c>
    </row>
    <row r="255" customHeight="1" spans="1:13">
      <c r="A255" s="39">
        <v>254</v>
      </c>
      <c r="B255" s="39">
        <v>0</v>
      </c>
      <c r="C255" s="39">
        <v>3</v>
      </c>
      <c r="D255" s="40" t="s">
        <v>383</v>
      </c>
      <c r="E255" s="40" t="s">
        <v>13</v>
      </c>
      <c r="F255" s="39">
        <v>30</v>
      </c>
      <c r="G255" s="39">
        <v>1</v>
      </c>
      <c r="H255" s="39">
        <v>0</v>
      </c>
      <c r="I255" s="40" t="s">
        <v>384</v>
      </c>
      <c r="J255" s="41">
        <v>16.1</v>
      </c>
      <c r="L255" s="39" t="s">
        <v>15</v>
      </c>
      <c r="M255" s="38">
        <f t="shared" si="3"/>
        <v>30</v>
      </c>
    </row>
    <row r="256" customHeight="1" spans="1:13">
      <c r="A256" s="39">
        <v>255</v>
      </c>
      <c r="B256" s="39">
        <v>0</v>
      </c>
      <c r="C256" s="39">
        <v>3</v>
      </c>
      <c r="D256" s="40" t="s">
        <v>385</v>
      </c>
      <c r="E256" s="40" t="s">
        <v>17</v>
      </c>
      <c r="F256" s="39">
        <v>41</v>
      </c>
      <c r="G256" s="39">
        <v>0</v>
      </c>
      <c r="H256" s="39">
        <v>2</v>
      </c>
      <c r="I256" s="40">
        <v>370129</v>
      </c>
      <c r="J256" s="41">
        <v>20.2125</v>
      </c>
      <c r="L256" s="39" t="s">
        <v>15</v>
      </c>
      <c r="M256" s="38">
        <f t="shared" si="3"/>
        <v>41</v>
      </c>
    </row>
    <row r="257" customHeight="1" spans="1:13">
      <c r="A257" s="39">
        <v>256</v>
      </c>
      <c r="B257" s="39">
        <v>1</v>
      </c>
      <c r="C257" s="39">
        <v>3</v>
      </c>
      <c r="D257" s="40" t="s">
        <v>386</v>
      </c>
      <c r="E257" s="40" t="s">
        <v>17</v>
      </c>
      <c r="F257" s="39">
        <v>29</v>
      </c>
      <c r="G257" s="39">
        <v>0</v>
      </c>
      <c r="H257" s="39">
        <v>2</v>
      </c>
      <c r="I257" s="40">
        <v>2650</v>
      </c>
      <c r="J257" s="41">
        <v>15.2458</v>
      </c>
      <c r="L257" s="39" t="s">
        <v>20</v>
      </c>
      <c r="M257" s="38">
        <f t="shared" si="3"/>
        <v>29</v>
      </c>
    </row>
    <row r="258" customHeight="1" spans="1:13">
      <c r="A258" s="39">
        <v>257</v>
      </c>
      <c r="B258" s="39">
        <v>1</v>
      </c>
      <c r="C258" s="39">
        <v>1</v>
      </c>
      <c r="D258" s="40" t="s">
        <v>387</v>
      </c>
      <c r="E258" s="40" t="s">
        <v>17</v>
      </c>
      <c r="G258" s="39">
        <v>0</v>
      </c>
      <c r="H258" s="39">
        <v>0</v>
      </c>
      <c r="I258" s="40" t="s">
        <v>388</v>
      </c>
      <c r="J258" s="41">
        <v>79.2</v>
      </c>
      <c r="L258" s="39" t="s">
        <v>20</v>
      </c>
      <c r="M258" s="38">
        <f t="shared" ref="M258:M321" si="4">IF(F258="",AVERAGE($F$2:$F$892),F258)</f>
        <v>29.6991176470588</v>
      </c>
    </row>
    <row r="259" customHeight="1" spans="1:13">
      <c r="A259" s="39">
        <v>258</v>
      </c>
      <c r="B259" s="39">
        <v>1</v>
      </c>
      <c r="C259" s="39">
        <v>1</v>
      </c>
      <c r="D259" s="40" t="s">
        <v>389</v>
      </c>
      <c r="E259" s="40" t="s">
        <v>17</v>
      </c>
      <c r="F259" s="39">
        <v>30</v>
      </c>
      <c r="G259" s="39">
        <v>0</v>
      </c>
      <c r="H259" s="39">
        <v>0</v>
      </c>
      <c r="I259" s="40">
        <v>110152</v>
      </c>
      <c r="J259" s="41">
        <v>86.5</v>
      </c>
      <c r="K259" s="42" t="s">
        <v>390</v>
      </c>
      <c r="L259" s="39" t="s">
        <v>15</v>
      </c>
      <c r="M259" s="38">
        <f t="shared" si="4"/>
        <v>30</v>
      </c>
    </row>
    <row r="260" customHeight="1" spans="1:13">
      <c r="A260" s="39">
        <v>259</v>
      </c>
      <c r="B260" s="39">
        <v>1</v>
      </c>
      <c r="C260" s="39">
        <v>1</v>
      </c>
      <c r="D260" s="40" t="s">
        <v>391</v>
      </c>
      <c r="E260" s="40" t="s">
        <v>17</v>
      </c>
      <c r="F260" s="39">
        <v>35</v>
      </c>
      <c r="G260" s="39">
        <v>0</v>
      </c>
      <c r="H260" s="39">
        <v>0</v>
      </c>
      <c r="I260" s="40" t="s">
        <v>392</v>
      </c>
      <c r="J260" s="41">
        <v>512.3292</v>
      </c>
      <c r="L260" s="39" t="s">
        <v>20</v>
      </c>
      <c r="M260" s="38">
        <f t="shared" si="4"/>
        <v>35</v>
      </c>
    </row>
    <row r="261" customHeight="1" spans="1:13">
      <c r="A261" s="39">
        <v>260</v>
      </c>
      <c r="B261" s="39">
        <v>1</v>
      </c>
      <c r="C261" s="39">
        <v>2</v>
      </c>
      <c r="D261" s="40" t="s">
        <v>393</v>
      </c>
      <c r="E261" s="40" t="s">
        <v>17</v>
      </c>
      <c r="F261" s="39">
        <v>50</v>
      </c>
      <c r="G261" s="39">
        <v>0</v>
      </c>
      <c r="H261" s="39">
        <v>1</v>
      </c>
      <c r="I261" s="40">
        <v>230433</v>
      </c>
      <c r="J261" s="41">
        <v>26</v>
      </c>
      <c r="L261" s="39" t="s">
        <v>15</v>
      </c>
      <c r="M261" s="38">
        <f t="shared" si="4"/>
        <v>50</v>
      </c>
    </row>
    <row r="262" customHeight="1" spans="1:13">
      <c r="A262" s="39">
        <v>261</v>
      </c>
      <c r="B262" s="39">
        <v>0</v>
      </c>
      <c r="C262" s="39">
        <v>3</v>
      </c>
      <c r="D262" s="40" t="s">
        <v>394</v>
      </c>
      <c r="E262" s="40" t="s">
        <v>13</v>
      </c>
      <c r="G262" s="39">
        <v>0</v>
      </c>
      <c r="H262" s="39">
        <v>0</v>
      </c>
      <c r="I262" s="40">
        <v>384461</v>
      </c>
      <c r="J262" s="41">
        <v>7.75</v>
      </c>
      <c r="L262" s="39" t="s">
        <v>27</v>
      </c>
      <c r="M262" s="38">
        <f t="shared" si="4"/>
        <v>29.6991176470588</v>
      </c>
    </row>
    <row r="263" customHeight="1" spans="1:13">
      <c r="A263" s="39">
        <v>262</v>
      </c>
      <c r="B263" s="39">
        <v>1</v>
      </c>
      <c r="C263" s="39">
        <v>3</v>
      </c>
      <c r="D263" s="40" t="s">
        <v>395</v>
      </c>
      <c r="E263" s="40" t="s">
        <v>13</v>
      </c>
      <c r="F263" s="39">
        <v>3</v>
      </c>
      <c r="G263" s="39">
        <v>4</v>
      </c>
      <c r="H263" s="39">
        <v>2</v>
      </c>
      <c r="I263" s="40">
        <v>347077</v>
      </c>
      <c r="J263" s="41">
        <v>31.3875</v>
      </c>
      <c r="L263" s="39" t="s">
        <v>15</v>
      </c>
      <c r="M263" s="38">
        <f t="shared" si="4"/>
        <v>3</v>
      </c>
    </row>
    <row r="264" customHeight="1" spans="1:13">
      <c r="A264" s="39">
        <v>263</v>
      </c>
      <c r="B264" s="39">
        <v>0</v>
      </c>
      <c r="C264" s="39">
        <v>1</v>
      </c>
      <c r="D264" s="40" t="s">
        <v>396</v>
      </c>
      <c r="E264" s="40" t="s">
        <v>13</v>
      </c>
      <c r="F264" s="39">
        <v>52</v>
      </c>
      <c r="G264" s="39">
        <v>1</v>
      </c>
      <c r="H264" s="39">
        <v>1</v>
      </c>
      <c r="I264" s="40">
        <v>110413</v>
      </c>
      <c r="J264" s="41">
        <v>79.65</v>
      </c>
      <c r="K264" s="42" t="s">
        <v>397</v>
      </c>
      <c r="L264" s="39" t="s">
        <v>15</v>
      </c>
      <c r="M264" s="38">
        <f t="shared" si="4"/>
        <v>52</v>
      </c>
    </row>
    <row r="265" customHeight="1" spans="1:13">
      <c r="A265" s="39">
        <v>264</v>
      </c>
      <c r="B265" s="39">
        <v>0</v>
      </c>
      <c r="C265" s="39">
        <v>1</v>
      </c>
      <c r="D265" s="40" t="s">
        <v>398</v>
      </c>
      <c r="E265" s="40" t="s">
        <v>13</v>
      </c>
      <c r="F265" s="39">
        <v>40</v>
      </c>
      <c r="G265" s="39">
        <v>0</v>
      </c>
      <c r="H265" s="39">
        <v>0</v>
      </c>
      <c r="I265" s="40">
        <v>112059</v>
      </c>
      <c r="J265" s="41">
        <v>0</v>
      </c>
      <c r="K265" s="42" t="s">
        <v>399</v>
      </c>
      <c r="L265" s="39" t="s">
        <v>15</v>
      </c>
      <c r="M265" s="38">
        <f t="shared" si="4"/>
        <v>40</v>
      </c>
    </row>
    <row r="266" customHeight="1" spans="1:13">
      <c r="A266" s="39">
        <v>265</v>
      </c>
      <c r="B266" s="39">
        <v>0</v>
      </c>
      <c r="C266" s="39">
        <v>3</v>
      </c>
      <c r="D266" s="40" t="s">
        <v>400</v>
      </c>
      <c r="E266" s="40" t="s">
        <v>17</v>
      </c>
      <c r="G266" s="39">
        <v>0</v>
      </c>
      <c r="H266" s="39">
        <v>0</v>
      </c>
      <c r="I266" s="40">
        <v>382649</v>
      </c>
      <c r="J266" s="41">
        <v>7.75</v>
      </c>
      <c r="L266" s="39" t="s">
        <v>27</v>
      </c>
      <c r="M266" s="38">
        <f t="shared" si="4"/>
        <v>29.6991176470588</v>
      </c>
    </row>
    <row r="267" customHeight="1" spans="1:13">
      <c r="A267" s="39">
        <v>266</v>
      </c>
      <c r="B267" s="39">
        <v>0</v>
      </c>
      <c r="C267" s="39">
        <v>2</v>
      </c>
      <c r="D267" s="40" t="s">
        <v>401</v>
      </c>
      <c r="E267" s="40" t="s">
        <v>13</v>
      </c>
      <c r="F267" s="39">
        <v>36</v>
      </c>
      <c r="G267" s="39">
        <v>0</v>
      </c>
      <c r="H267" s="39">
        <v>0</v>
      </c>
      <c r="I267" s="40" t="s">
        <v>402</v>
      </c>
      <c r="J267" s="41">
        <v>10.5</v>
      </c>
      <c r="L267" s="39" t="s">
        <v>15</v>
      </c>
      <c r="M267" s="38">
        <f t="shared" si="4"/>
        <v>36</v>
      </c>
    </row>
    <row r="268" customHeight="1" spans="1:13">
      <c r="A268" s="39">
        <v>267</v>
      </c>
      <c r="B268" s="39">
        <v>0</v>
      </c>
      <c r="C268" s="39">
        <v>3</v>
      </c>
      <c r="D268" s="40" t="s">
        <v>403</v>
      </c>
      <c r="E268" s="40" t="s">
        <v>13</v>
      </c>
      <c r="F268" s="39">
        <v>16</v>
      </c>
      <c r="G268" s="39">
        <v>4</v>
      </c>
      <c r="H268" s="39">
        <v>1</v>
      </c>
      <c r="I268" s="40">
        <v>3101295</v>
      </c>
      <c r="J268" s="41">
        <v>39.6875</v>
      </c>
      <c r="L268" s="39" t="s">
        <v>15</v>
      </c>
      <c r="M268" s="38">
        <f t="shared" si="4"/>
        <v>16</v>
      </c>
    </row>
    <row r="269" customHeight="1" spans="1:13">
      <c r="A269" s="39">
        <v>268</v>
      </c>
      <c r="B269" s="39">
        <v>1</v>
      </c>
      <c r="C269" s="39">
        <v>3</v>
      </c>
      <c r="D269" s="40" t="s">
        <v>404</v>
      </c>
      <c r="E269" s="40" t="s">
        <v>13</v>
      </c>
      <c r="F269" s="39">
        <v>25</v>
      </c>
      <c r="G269" s="39">
        <v>1</v>
      </c>
      <c r="H269" s="39">
        <v>0</v>
      </c>
      <c r="I269" s="40">
        <v>347083</v>
      </c>
      <c r="J269" s="41">
        <v>7.775</v>
      </c>
      <c r="L269" s="39" t="s">
        <v>15</v>
      </c>
      <c r="M269" s="38">
        <f t="shared" si="4"/>
        <v>25</v>
      </c>
    </row>
    <row r="270" customHeight="1" spans="1:13">
      <c r="A270" s="39">
        <v>269</v>
      </c>
      <c r="B270" s="39">
        <v>1</v>
      </c>
      <c r="C270" s="39">
        <v>1</v>
      </c>
      <c r="D270" s="40" t="s">
        <v>405</v>
      </c>
      <c r="E270" s="40" t="s">
        <v>17</v>
      </c>
      <c r="F270" s="39">
        <v>58</v>
      </c>
      <c r="G270" s="39">
        <v>0</v>
      </c>
      <c r="H270" s="39">
        <v>1</v>
      </c>
      <c r="I270" s="40" t="s">
        <v>406</v>
      </c>
      <c r="J270" s="41">
        <v>153.4625</v>
      </c>
      <c r="K270" s="42" t="s">
        <v>407</v>
      </c>
      <c r="L270" s="39" t="s">
        <v>15</v>
      </c>
      <c r="M270" s="38">
        <f t="shared" si="4"/>
        <v>58</v>
      </c>
    </row>
    <row r="271" customHeight="1" spans="1:13">
      <c r="A271" s="39">
        <v>270</v>
      </c>
      <c r="B271" s="39">
        <v>1</v>
      </c>
      <c r="C271" s="39">
        <v>1</v>
      </c>
      <c r="D271" s="40" t="s">
        <v>408</v>
      </c>
      <c r="E271" s="40" t="s">
        <v>17</v>
      </c>
      <c r="F271" s="39">
        <v>35</v>
      </c>
      <c r="G271" s="39">
        <v>0</v>
      </c>
      <c r="H271" s="39">
        <v>0</v>
      </c>
      <c r="I271" s="40" t="s">
        <v>409</v>
      </c>
      <c r="J271" s="41">
        <v>135.6333</v>
      </c>
      <c r="K271" s="42" t="s">
        <v>410</v>
      </c>
      <c r="L271" s="39" t="s">
        <v>15</v>
      </c>
      <c r="M271" s="38">
        <f t="shared" si="4"/>
        <v>35</v>
      </c>
    </row>
    <row r="272" customHeight="1" spans="1:13">
      <c r="A272" s="39">
        <v>271</v>
      </c>
      <c r="B272" s="39">
        <v>0</v>
      </c>
      <c r="C272" s="39">
        <v>1</v>
      </c>
      <c r="D272" s="40" t="s">
        <v>411</v>
      </c>
      <c r="E272" s="40" t="s">
        <v>13</v>
      </c>
      <c r="G272" s="39">
        <v>0</v>
      </c>
      <c r="H272" s="39">
        <v>0</v>
      </c>
      <c r="I272" s="40">
        <v>113798</v>
      </c>
      <c r="J272" s="41">
        <v>31</v>
      </c>
      <c r="L272" s="39" t="s">
        <v>15</v>
      </c>
      <c r="M272" s="38">
        <f t="shared" si="4"/>
        <v>29.6991176470588</v>
      </c>
    </row>
    <row r="273" customHeight="1" spans="1:13">
      <c r="A273" s="39">
        <v>272</v>
      </c>
      <c r="B273" s="39">
        <v>1</v>
      </c>
      <c r="C273" s="39">
        <v>3</v>
      </c>
      <c r="D273" s="40" t="s">
        <v>412</v>
      </c>
      <c r="E273" s="40" t="s">
        <v>13</v>
      </c>
      <c r="F273" s="39">
        <v>25</v>
      </c>
      <c r="G273" s="39">
        <v>0</v>
      </c>
      <c r="H273" s="39">
        <v>0</v>
      </c>
      <c r="I273" s="40" t="s">
        <v>280</v>
      </c>
      <c r="J273" s="41">
        <v>0</v>
      </c>
      <c r="L273" s="39" t="s">
        <v>15</v>
      </c>
      <c r="M273" s="38">
        <f t="shared" si="4"/>
        <v>25</v>
      </c>
    </row>
    <row r="274" customHeight="1" spans="1:13">
      <c r="A274" s="39">
        <v>273</v>
      </c>
      <c r="B274" s="39">
        <v>1</v>
      </c>
      <c r="C274" s="39">
        <v>2</v>
      </c>
      <c r="D274" s="40" t="s">
        <v>413</v>
      </c>
      <c r="E274" s="40" t="s">
        <v>17</v>
      </c>
      <c r="F274" s="39">
        <v>41</v>
      </c>
      <c r="G274" s="39">
        <v>0</v>
      </c>
      <c r="H274" s="39">
        <v>1</v>
      </c>
      <c r="I274" s="40">
        <v>250644</v>
      </c>
      <c r="J274" s="41">
        <v>19.5</v>
      </c>
      <c r="L274" s="39" t="s">
        <v>15</v>
      </c>
      <c r="M274" s="38">
        <f t="shared" si="4"/>
        <v>41</v>
      </c>
    </row>
    <row r="275" customHeight="1" spans="1:13">
      <c r="A275" s="39">
        <v>274</v>
      </c>
      <c r="B275" s="39">
        <v>0</v>
      </c>
      <c r="C275" s="39">
        <v>1</v>
      </c>
      <c r="D275" s="40" t="s">
        <v>414</v>
      </c>
      <c r="E275" s="40" t="s">
        <v>13</v>
      </c>
      <c r="F275" s="39">
        <v>37</v>
      </c>
      <c r="G275" s="39">
        <v>0</v>
      </c>
      <c r="H275" s="39">
        <v>1</v>
      </c>
      <c r="I275" s="40" t="s">
        <v>415</v>
      </c>
      <c r="J275" s="41">
        <v>29.7</v>
      </c>
      <c r="K275" s="42" t="s">
        <v>416</v>
      </c>
      <c r="L275" s="39" t="s">
        <v>20</v>
      </c>
      <c r="M275" s="38">
        <f t="shared" si="4"/>
        <v>37</v>
      </c>
    </row>
    <row r="276" customHeight="1" spans="1:13">
      <c r="A276" s="39">
        <v>275</v>
      </c>
      <c r="B276" s="39">
        <v>1</v>
      </c>
      <c r="C276" s="39">
        <v>3</v>
      </c>
      <c r="D276" s="40" t="s">
        <v>417</v>
      </c>
      <c r="E276" s="40" t="s">
        <v>17</v>
      </c>
      <c r="G276" s="39">
        <v>0</v>
      </c>
      <c r="H276" s="39">
        <v>0</v>
      </c>
      <c r="I276" s="40">
        <v>370375</v>
      </c>
      <c r="J276" s="41">
        <v>7.75</v>
      </c>
      <c r="L276" s="39" t="s">
        <v>27</v>
      </c>
      <c r="M276" s="38">
        <f t="shared" si="4"/>
        <v>29.6991176470588</v>
      </c>
    </row>
    <row r="277" customHeight="1" spans="1:13">
      <c r="A277" s="39">
        <v>276</v>
      </c>
      <c r="B277" s="39">
        <v>1</v>
      </c>
      <c r="C277" s="39">
        <v>1</v>
      </c>
      <c r="D277" s="40" t="s">
        <v>418</v>
      </c>
      <c r="E277" s="40" t="s">
        <v>17</v>
      </c>
      <c r="F277" s="39">
        <v>63</v>
      </c>
      <c r="G277" s="39">
        <v>1</v>
      </c>
      <c r="H277" s="39">
        <v>0</v>
      </c>
      <c r="I277" s="40">
        <v>13502</v>
      </c>
      <c r="J277" s="41">
        <v>77.9583</v>
      </c>
      <c r="K277" s="42" t="s">
        <v>419</v>
      </c>
      <c r="L277" s="39" t="s">
        <v>15</v>
      </c>
      <c r="M277" s="38">
        <f t="shared" si="4"/>
        <v>63</v>
      </c>
    </row>
    <row r="278" customHeight="1" spans="1:13">
      <c r="A278" s="39">
        <v>277</v>
      </c>
      <c r="B278" s="39">
        <v>0</v>
      </c>
      <c r="C278" s="39">
        <v>3</v>
      </c>
      <c r="D278" s="40" t="s">
        <v>420</v>
      </c>
      <c r="E278" s="40" t="s">
        <v>17</v>
      </c>
      <c r="F278" s="39">
        <v>45</v>
      </c>
      <c r="G278" s="39">
        <v>0</v>
      </c>
      <c r="H278" s="39">
        <v>0</v>
      </c>
      <c r="I278" s="40">
        <v>347073</v>
      </c>
      <c r="J278" s="41">
        <v>7.75</v>
      </c>
      <c r="L278" s="39" t="s">
        <v>15</v>
      </c>
      <c r="M278" s="38">
        <f t="shared" si="4"/>
        <v>45</v>
      </c>
    </row>
    <row r="279" customHeight="1" spans="1:13">
      <c r="A279" s="39">
        <v>278</v>
      </c>
      <c r="B279" s="39">
        <v>0</v>
      </c>
      <c r="C279" s="39">
        <v>2</v>
      </c>
      <c r="D279" s="40" t="s">
        <v>421</v>
      </c>
      <c r="E279" s="40" t="s">
        <v>13</v>
      </c>
      <c r="G279" s="39">
        <v>0</v>
      </c>
      <c r="H279" s="39">
        <v>0</v>
      </c>
      <c r="I279" s="40">
        <v>239853</v>
      </c>
      <c r="J279" s="41">
        <v>0</v>
      </c>
      <c r="L279" s="39" t="s">
        <v>15</v>
      </c>
      <c r="M279" s="38">
        <f t="shared" si="4"/>
        <v>29.6991176470588</v>
      </c>
    </row>
    <row r="280" customHeight="1" spans="1:13">
      <c r="A280" s="39">
        <v>279</v>
      </c>
      <c r="B280" s="39">
        <v>0</v>
      </c>
      <c r="C280" s="39">
        <v>3</v>
      </c>
      <c r="D280" s="40" t="s">
        <v>422</v>
      </c>
      <c r="E280" s="40" t="s">
        <v>13</v>
      </c>
      <c r="F280" s="39">
        <v>7</v>
      </c>
      <c r="G280" s="39">
        <v>4</v>
      </c>
      <c r="H280" s="39">
        <v>1</v>
      </c>
      <c r="I280" s="40">
        <v>382652</v>
      </c>
      <c r="J280" s="41">
        <v>29.125</v>
      </c>
      <c r="L280" s="39" t="s">
        <v>27</v>
      </c>
      <c r="M280" s="38">
        <f t="shared" si="4"/>
        <v>7</v>
      </c>
    </row>
    <row r="281" customHeight="1" spans="1:13">
      <c r="A281" s="39">
        <v>280</v>
      </c>
      <c r="B281" s="39">
        <v>1</v>
      </c>
      <c r="C281" s="39">
        <v>3</v>
      </c>
      <c r="D281" s="40" t="s">
        <v>423</v>
      </c>
      <c r="E281" s="40" t="s">
        <v>17</v>
      </c>
      <c r="F281" s="39">
        <v>35</v>
      </c>
      <c r="G281" s="39">
        <v>1</v>
      </c>
      <c r="H281" s="39">
        <v>1</v>
      </c>
      <c r="I281" s="40" t="s">
        <v>424</v>
      </c>
      <c r="J281" s="41">
        <v>20.25</v>
      </c>
      <c r="L281" s="39" t="s">
        <v>15</v>
      </c>
      <c r="M281" s="38">
        <f t="shared" si="4"/>
        <v>35</v>
      </c>
    </row>
    <row r="282" customHeight="1" spans="1:13">
      <c r="A282" s="39">
        <v>281</v>
      </c>
      <c r="B282" s="39">
        <v>0</v>
      </c>
      <c r="C282" s="39">
        <v>3</v>
      </c>
      <c r="D282" s="40" t="s">
        <v>425</v>
      </c>
      <c r="E282" s="40" t="s">
        <v>13</v>
      </c>
      <c r="F282" s="39">
        <v>65</v>
      </c>
      <c r="G282" s="39">
        <v>0</v>
      </c>
      <c r="H282" s="39">
        <v>0</v>
      </c>
      <c r="I282" s="40">
        <v>336439</v>
      </c>
      <c r="J282" s="41">
        <v>7.75</v>
      </c>
      <c r="L282" s="39" t="s">
        <v>27</v>
      </c>
      <c r="M282" s="38">
        <f t="shared" si="4"/>
        <v>65</v>
      </c>
    </row>
    <row r="283" customHeight="1" spans="1:13">
      <c r="A283" s="39">
        <v>282</v>
      </c>
      <c r="B283" s="39">
        <v>0</v>
      </c>
      <c r="C283" s="39">
        <v>3</v>
      </c>
      <c r="D283" s="40" t="s">
        <v>426</v>
      </c>
      <c r="E283" s="40" t="s">
        <v>13</v>
      </c>
      <c r="F283" s="39">
        <v>28</v>
      </c>
      <c r="G283" s="39">
        <v>0</v>
      </c>
      <c r="H283" s="39">
        <v>0</v>
      </c>
      <c r="I283" s="40">
        <v>347464</v>
      </c>
      <c r="J283" s="41">
        <v>7.8542</v>
      </c>
      <c r="L283" s="39" t="s">
        <v>15</v>
      </c>
      <c r="M283" s="38">
        <f t="shared" si="4"/>
        <v>28</v>
      </c>
    </row>
    <row r="284" customHeight="1" spans="1:13">
      <c r="A284" s="39">
        <v>283</v>
      </c>
      <c r="B284" s="39">
        <v>0</v>
      </c>
      <c r="C284" s="39">
        <v>3</v>
      </c>
      <c r="D284" s="40" t="s">
        <v>427</v>
      </c>
      <c r="E284" s="40" t="s">
        <v>13</v>
      </c>
      <c r="F284" s="39">
        <v>16</v>
      </c>
      <c r="G284" s="39">
        <v>0</v>
      </c>
      <c r="H284" s="39">
        <v>0</v>
      </c>
      <c r="I284" s="40">
        <v>345778</v>
      </c>
      <c r="J284" s="41">
        <v>9.5</v>
      </c>
      <c r="L284" s="39" t="s">
        <v>15</v>
      </c>
      <c r="M284" s="38">
        <f t="shared" si="4"/>
        <v>16</v>
      </c>
    </row>
    <row r="285" customHeight="1" spans="1:13">
      <c r="A285" s="39">
        <v>284</v>
      </c>
      <c r="B285" s="39">
        <v>1</v>
      </c>
      <c r="C285" s="39">
        <v>3</v>
      </c>
      <c r="D285" s="40" t="s">
        <v>428</v>
      </c>
      <c r="E285" s="40" t="s">
        <v>13</v>
      </c>
      <c r="F285" s="39">
        <v>19</v>
      </c>
      <c r="G285" s="39">
        <v>0</v>
      </c>
      <c r="H285" s="39">
        <v>0</v>
      </c>
      <c r="I285" s="40" t="s">
        <v>429</v>
      </c>
      <c r="J285" s="41">
        <v>8.05</v>
      </c>
      <c r="L285" s="39" t="s">
        <v>15</v>
      </c>
      <c r="M285" s="38">
        <f t="shared" si="4"/>
        <v>19</v>
      </c>
    </row>
    <row r="286" customHeight="1" spans="1:13">
      <c r="A286" s="39">
        <v>285</v>
      </c>
      <c r="B286" s="39">
        <v>0</v>
      </c>
      <c r="C286" s="39">
        <v>1</v>
      </c>
      <c r="D286" s="40" t="s">
        <v>430</v>
      </c>
      <c r="E286" s="40" t="s">
        <v>13</v>
      </c>
      <c r="G286" s="39">
        <v>0</v>
      </c>
      <c r="H286" s="39">
        <v>0</v>
      </c>
      <c r="I286" s="40">
        <v>113056</v>
      </c>
      <c r="J286" s="41">
        <v>26</v>
      </c>
      <c r="K286" s="42" t="s">
        <v>431</v>
      </c>
      <c r="L286" s="39" t="s">
        <v>15</v>
      </c>
      <c r="M286" s="38">
        <f t="shared" si="4"/>
        <v>29.6991176470588</v>
      </c>
    </row>
    <row r="287" customHeight="1" spans="1:13">
      <c r="A287" s="39">
        <v>286</v>
      </c>
      <c r="B287" s="39">
        <v>0</v>
      </c>
      <c r="C287" s="39">
        <v>3</v>
      </c>
      <c r="D287" s="40" t="s">
        <v>432</v>
      </c>
      <c r="E287" s="40" t="s">
        <v>13</v>
      </c>
      <c r="F287" s="39">
        <v>33</v>
      </c>
      <c r="G287" s="39">
        <v>0</v>
      </c>
      <c r="H287" s="39">
        <v>0</v>
      </c>
      <c r="I287" s="40">
        <v>349239</v>
      </c>
      <c r="J287" s="41">
        <v>8.6625</v>
      </c>
      <c r="L287" s="39" t="s">
        <v>20</v>
      </c>
      <c r="M287" s="38">
        <f t="shared" si="4"/>
        <v>33</v>
      </c>
    </row>
    <row r="288" customHeight="1" spans="1:13">
      <c r="A288" s="39">
        <v>287</v>
      </c>
      <c r="B288" s="39">
        <v>1</v>
      </c>
      <c r="C288" s="39">
        <v>3</v>
      </c>
      <c r="D288" s="40" t="s">
        <v>433</v>
      </c>
      <c r="E288" s="40" t="s">
        <v>13</v>
      </c>
      <c r="F288" s="39">
        <v>30</v>
      </c>
      <c r="G288" s="39">
        <v>0</v>
      </c>
      <c r="H288" s="39">
        <v>0</v>
      </c>
      <c r="I288" s="40">
        <v>345774</v>
      </c>
      <c r="J288" s="41">
        <v>9.5</v>
      </c>
      <c r="L288" s="39" t="s">
        <v>15</v>
      </c>
      <c r="M288" s="38">
        <f t="shared" si="4"/>
        <v>30</v>
      </c>
    </row>
    <row r="289" customHeight="1" spans="1:13">
      <c r="A289" s="39">
        <v>288</v>
      </c>
      <c r="B289" s="39">
        <v>0</v>
      </c>
      <c r="C289" s="39">
        <v>3</v>
      </c>
      <c r="D289" s="40" t="s">
        <v>434</v>
      </c>
      <c r="E289" s="40" t="s">
        <v>13</v>
      </c>
      <c r="F289" s="39">
        <v>22</v>
      </c>
      <c r="G289" s="39">
        <v>0</v>
      </c>
      <c r="H289" s="39">
        <v>0</v>
      </c>
      <c r="I289" s="40">
        <v>349206</v>
      </c>
      <c r="J289" s="41">
        <v>7.8958</v>
      </c>
      <c r="L289" s="39" t="s">
        <v>15</v>
      </c>
      <c r="M289" s="38">
        <f t="shared" si="4"/>
        <v>22</v>
      </c>
    </row>
    <row r="290" customHeight="1" spans="1:13">
      <c r="A290" s="39">
        <v>289</v>
      </c>
      <c r="B290" s="39">
        <v>1</v>
      </c>
      <c r="C290" s="39">
        <v>2</v>
      </c>
      <c r="D290" s="40" t="s">
        <v>435</v>
      </c>
      <c r="E290" s="40" t="s">
        <v>13</v>
      </c>
      <c r="F290" s="39">
        <v>42</v>
      </c>
      <c r="G290" s="39">
        <v>0</v>
      </c>
      <c r="H290" s="39">
        <v>0</v>
      </c>
      <c r="I290" s="40">
        <v>237798</v>
      </c>
      <c r="J290" s="41">
        <v>13</v>
      </c>
      <c r="L290" s="39" t="s">
        <v>15</v>
      </c>
      <c r="M290" s="38">
        <f t="shared" si="4"/>
        <v>42</v>
      </c>
    </row>
    <row r="291" customHeight="1" spans="1:13">
      <c r="A291" s="39">
        <v>290</v>
      </c>
      <c r="B291" s="39">
        <v>1</v>
      </c>
      <c r="C291" s="39">
        <v>3</v>
      </c>
      <c r="D291" s="40" t="s">
        <v>436</v>
      </c>
      <c r="E291" s="40" t="s">
        <v>17</v>
      </c>
      <c r="F291" s="39">
        <v>22</v>
      </c>
      <c r="G291" s="39">
        <v>0</v>
      </c>
      <c r="H291" s="39">
        <v>0</v>
      </c>
      <c r="I291" s="40">
        <v>370373</v>
      </c>
      <c r="J291" s="41">
        <v>7.75</v>
      </c>
      <c r="L291" s="39" t="s">
        <v>27</v>
      </c>
      <c r="M291" s="38">
        <f t="shared" si="4"/>
        <v>22</v>
      </c>
    </row>
    <row r="292" customHeight="1" spans="1:13">
      <c r="A292" s="39">
        <v>291</v>
      </c>
      <c r="B292" s="39">
        <v>1</v>
      </c>
      <c r="C292" s="39">
        <v>1</v>
      </c>
      <c r="D292" s="40" t="s">
        <v>437</v>
      </c>
      <c r="E292" s="40" t="s">
        <v>17</v>
      </c>
      <c r="F292" s="39">
        <v>26</v>
      </c>
      <c r="G292" s="39">
        <v>0</v>
      </c>
      <c r="H292" s="39">
        <v>0</v>
      </c>
      <c r="I292" s="40">
        <v>19877</v>
      </c>
      <c r="J292" s="41">
        <v>78.85</v>
      </c>
      <c r="L292" s="39" t="s">
        <v>15</v>
      </c>
      <c r="M292" s="38">
        <f t="shared" si="4"/>
        <v>26</v>
      </c>
    </row>
    <row r="293" customHeight="1" spans="1:13">
      <c r="A293" s="39">
        <v>292</v>
      </c>
      <c r="B293" s="39">
        <v>1</v>
      </c>
      <c r="C293" s="39">
        <v>1</v>
      </c>
      <c r="D293" s="40" t="s">
        <v>438</v>
      </c>
      <c r="E293" s="40" t="s">
        <v>17</v>
      </c>
      <c r="F293" s="39">
        <v>19</v>
      </c>
      <c r="G293" s="39">
        <v>1</v>
      </c>
      <c r="H293" s="39">
        <v>0</v>
      </c>
      <c r="I293" s="40">
        <v>11967</v>
      </c>
      <c r="J293" s="41">
        <v>91.0792</v>
      </c>
      <c r="K293" s="42" t="s">
        <v>439</v>
      </c>
      <c r="L293" s="39" t="s">
        <v>20</v>
      </c>
      <c r="M293" s="38">
        <f t="shared" si="4"/>
        <v>19</v>
      </c>
    </row>
    <row r="294" customHeight="1" spans="1:13">
      <c r="A294" s="39">
        <v>293</v>
      </c>
      <c r="B294" s="39">
        <v>0</v>
      </c>
      <c r="C294" s="39">
        <v>2</v>
      </c>
      <c r="D294" s="40" t="s">
        <v>440</v>
      </c>
      <c r="E294" s="40" t="s">
        <v>13</v>
      </c>
      <c r="F294" s="39">
        <v>36</v>
      </c>
      <c r="G294" s="39">
        <v>0</v>
      </c>
      <c r="H294" s="39">
        <v>0</v>
      </c>
      <c r="I294" s="40" t="s">
        <v>441</v>
      </c>
      <c r="J294" s="41">
        <v>12.875</v>
      </c>
      <c r="K294" s="42" t="s">
        <v>442</v>
      </c>
      <c r="L294" s="39" t="s">
        <v>20</v>
      </c>
      <c r="M294" s="38">
        <f t="shared" si="4"/>
        <v>36</v>
      </c>
    </row>
    <row r="295" customHeight="1" spans="1:13">
      <c r="A295" s="39">
        <v>294</v>
      </c>
      <c r="B295" s="39">
        <v>0</v>
      </c>
      <c r="C295" s="39">
        <v>3</v>
      </c>
      <c r="D295" s="40" t="s">
        <v>443</v>
      </c>
      <c r="E295" s="40" t="s">
        <v>17</v>
      </c>
      <c r="F295" s="39">
        <v>24</v>
      </c>
      <c r="G295" s="39">
        <v>0</v>
      </c>
      <c r="H295" s="39">
        <v>0</v>
      </c>
      <c r="I295" s="40">
        <v>349236</v>
      </c>
      <c r="J295" s="41">
        <v>8.85</v>
      </c>
      <c r="L295" s="39" t="s">
        <v>15</v>
      </c>
      <c r="M295" s="38">
        <f t="shared" si="4"/>
        <v>24</v>
      </c>
    </row>
    <row r="296" customHeight="1" spans="1:13">
      <c r="A296" s="39">
        <v>295</v>
      </c>
      <c r="B296" s="39">
        <v>0</v>
      </c>
      <c r="C296" s="39">
        <v>3</v>
      </c>
      <c r="D296" s="40" t="s">
        <v>444</v>
      </c>
      <c r="E296" s="40" t="s">
        <v>13</v>
      </c>
      <c r="F296" s="39">
        <v>24</v>
      </c>
      <c r="G296" s="39">
        <v>0</v>
      </c>
      <c r="H296" s="39">
        <v>0</v>
      </c>
      <c r="I296" s="40">
        <v>349233</v>
      </c>
      <c r="J296" s="41">
        <v>7.8958</v>
      </c>
      <c r="L296" s="39" t="s">
        <v>15</v>
      </c>
      <c r="M296" s="38">
        <f t="shared" si="4"/>
        <v>24</v>
      </c>
    </row>
    <row r="297" customHeight="1" spans="1:13">
      <c r="A297" s="39">
        <v>296</v>
      </c>
      <c r="B297" s="39">
        <v>0</v>
      </c>
      <c r="C297" s="39">
        <v>1</v>
      </c>
      <c r="D297" s="40" t="s">
        <v>445</v>
      </c>
      <c r="E297" s="40" t="s">
        <v>13</v>
      </c>
      <c r="G297" s="39">
        <v>0</v>
      </c>
      <c r="H297" s="39">
        <v>0</v>
      </c>
      <c r="I297" s="40" t="s">
        <v>446</v>
      </c>
      <c r="J297" s="41">
        <v>27.7208</v>
      </c>
      <c r="L297" s="39" t="s">
        <v>20</v>
      </c>
      <c r="M297" s="38">
        <f t="shared" si="4"/>
        <v>29.6991176470588</v>
      </c>
    </row>
    <row r="298" customHeight="1" spans="1:13">
      <c r="A298" s="39">
        <v>297</v>
      </c>
      <c r="B298" s="39">
        <v>0</v>
      </c>
      <c r="C298" s="39">
        <v>3</v>
      </c>
      <c r="D298" s="40" t="s">
        <v>447</v>
      </c>
      <c r="E298" s="40" t="s">
        <v>13</v>
      </c>
      <c r="F298" s="39">
        <v>23.5</v>
      </c>
      <c r="G298" s="39">
        <v>0</v>
      </c>
      <c r="H298" s="39">
        <v>0</v>
      </c>
      <c r="I298" s="40">
        <v>2693</v>
      </c>
      <c r="J298" s="41">
        <v>7.2292</v>
      </c>
      <c r="L298" s="39" t="s">
        <v>20</v>
      </c>
      <c r="M298" s="38">
        <f t="shared" si="4"/>
        <v>23.5</v>
      </c>
    </row>
    <row r="299" customHeight="1" spans="1:13">
      <c r="A299" s="39">
        <v>298</v>
      </c>
      <c r="B299" s="39">
        <v>0</v>
      </c>
      <c r="C299" s="39">
        <v>1</v>
      </c>
      <c r="D299" s="40" t="s">
        <v>448</v>
      </c>
      <c r="E299" s="40" t="s">
        <v>17</v>
      </c>
      <c r="F299" s="39">
        <v>2</v>
      </c>
      <c r="G299" s="39">
        <v>1</v>
      </c>
      <c r="H299" s="39">
        <v>2</v>
      </c>
      <c r="I299" s="40">
        <v>113781</v>
      </c>
      <c r="J299" s="41">
        <v>151.55</v>
      </c>
      <c r="K299" s="42" t="s">
        <v>449</v>
      </c>
      <c r="L299" s="39" t="s">
        <v>15</v>
      </c>
      <c r="M299" s="38">
        <f t="shared" si="4"/>
        <v>2</v>
      </c>
    </row>
    <row r="300" customHeight="1" spans="1:13">
      <c r="A300" s="39">
        <v>299</v>
      </c>
      <c r="B300" s="39">
        <v>1</v>
      </c>
      <c r="C300" s="39">
        <v>1</v>
      </c>
      <c r="D300" s="40" t="s">
        <v>450</v>
      </c>
      <c r="E300" s="40" t="s">
        <v>13</v>
      </c>
      <c r="G300" s="39">
        <v>0</v>
      </c>
      <c r="H300" s="39">
        <v>0</v>
      </c>
      <c r="I300" s="40">
        <v>19988</v>
      </c>
      <c r="J300" s="41">
        <v>30.5</v>
      </c>
      <c r="K300" s="42" t="s">
        <v>451</v>
      </c>
      <c r="L300" s="39" t="s">
        <v>15</v>
      </c>
      <c r="M300" s="38">
        <f t="shared" si="4"/>
        <v>29.6991176470588</v>
      </c>
    </row>
    <row r="301" customHeight="1" spans="1:13">
      <c r="A301" s="39">
        <v>300</v>
      </c>
      <c r="B301" s="39">
        <v>1</v>
      </c>
      <c r="C301" s="39">
        <v>1</v>
      </c>
      <c r="D301" s="40" t="s">
        <v>452</v>
      </c>
      <c r="E301" s="40" t="s">
        <v>17</v>
      </c>
      <c r="F301" s="39">
        <v>50</v>
      </c>
      <c r="G301" s="39">
        <v>0</v>
      </c>
      <c r="H301" s="39">
        <v>1</v>
      </c>
      <c r="I301" s="40" t="s">
        <v>187</v>
      </c>
      <c r="J301" s="41">
        <v>247.5208</v>
      </c>
      <c r="K301" s="42" t="s">
        <v>188</v>
      </c>
      <c r="L301" s="39" t="s">
        <v>20</v>
      </c>
      <c r="M301" s="38">
        <f t="shared" si="4"/>
        <v>50</v>
      </c>
    </row>
    <row r="302" customHeight="1" spans="1:13">
      <c r="A302" s="39">
        <v>301</v>
      </c>
      <c r="B302" s="39">
        <v>1</v>
      </c>
      <c r="C302" s="39">
        <v>3</v>
      </c>
      <c r="D302" s="40" t="s">
        <v>453</v>
      </c>
      <c r="E302" s="40" t="s">
        <v>17</v>
      </c>
      <c r="G302" s="39">
        <v>0</v>
      </c>
      <c r="H302" s="39">
        <v>0</v>
      </c>
      <c r="I302" s="40">
        <v>9234</v>
      </c>
      <c r="J302" s="41">
        <v>7.75</v>
      </c>
      <c r="L302" s="39" t="s">
        <v>27</v>
      </c>
      <c r="M302" s="38">
        <f t="shared" si="4"/>
        <v>29.6991176470588</v>
      </c>
    </row>
    <row r="303" customHeight="1" spans="1:13">
      <c r="A303" s="39">
        <v>302</v>
      </c>
      <c r="B303" s="39">
        <v>1</v>
      </c>
      <c r="C303" s="39">
        <v>3</v>
      </c>
      <c r="D303" s="40" t="s">
        <v>454</v>
      </c>
      <c r="E303" s="40" t="s">
        <v>13</v>
      </c>
      <c r="G303" s="39">
        <v>2</v>
      </c>
      <c r="H303" s="39">
        <v>0</v>
      </c>
      <c r="I303" s="40">
        <v>367226</v>
      </c>
      <c r="J303" s="41">
        <v>23.25</v>
      </c>
      <c r="L303" s="39" t="s">
        <v>27</v>
      </c>
      <c r="M303" s="38">
        <f t="shared" si="4"/>
        <v>29.6991176470588</v>
      </c>
    </row>
    <row r="304" customHeight="1" spans="1:13">
      <c r="A304" s="39">
        <v>303</v>
      </c>
      <c r="B304" s="39">
        <v>0</v>
      </c>
      <c r="C304" s="39">
        <v>3</v>
      </c>
      <c r="D304" s="40" t="s">
        <v>455</v>
      </c>
      <c r="E304" s="40" t="s">
        <v>13</v>
      </c>
      <c r="F304" s="39">
        <v>19</v>
      </c>
      <c r="G304" s="39">
        <v>0</v>
      </c>
      <c r="H304" s="39">
        <v>0</v>
      </c>
      <c r="I304" s="40" t="s">
        <v>280</v>
      </c>
      <c r="J304" s="41">
        <v>0</v>
      </c>
      <c r="L304" s="39" t="s">
        <v>15</v>
      </c>
      <c r="M304" s="38">
        <f t="shared" si="4"/>
        <v>19</v>
      </c>
    </row>
    <row r="305" customHeight="1" spans="1:13">
      <c r="A305" s="39">
        <v>304</v>
      </c>
      <c r="B305" s="39">
        <v>1</v>
      </c>
      <c r="C305" s="39">
        <v>2</v>
      </c>
      <c r="D305" s="40" t="s">
        <v>456</v>
      </c>
      <c r="E305" s="40" t="s">
        <v>17</v>
      </c>
      <c r="G305" s="39">
        <v>0</v>
      </c>
      <c r="H305" s="39">
        <v>0</v>
      </c>
      <c r="I305" s="40">
        <v>226593</v>
      </c>
      <c r="J305" s="41">
        <v>12.35</v>
      </c>
      <c r="K305" s="42" t="s">
        <v>195</v>
      </c>
      <c r="L305" s="39" t="s">
        <v>27</v>
      </c>
      <c r="M305" s="38">
        <f t="shared" si="4"/>
        <v>29.6991176470588</v>
      </c>
    </row>
    <row r="306" customHeight="1" spans="1:13">
      <c r="A306" s="39">
        <v>305</v>
      </c>
      <c r="B306" s="39">
        <v>0</v>
      </c>
      <c r="C306" s="39">
        <v>3</v>
      </c>
      <c r="D306" s="40" t="s">
        <v>457</v>
      </c>
      <c r="E306" s="40" t="s">
        <v>13</v>
      </c>
      <c r="G306" s="39">
        <v>0</v>
      </c>
      <c r="H306" s="39">
        <v>0</v>
      </c>
      <c r="I306" s="40" t="s">
        <v>458</v>
      </c>
      <c r="J306" s="41">
        <v>8.05</v>
      </c>
      <c r="L306" s="39" t="s">
        <v>15</v>
      </c>
      <c r="M306" s="38">
        <f t="shared" si="4"/>
        <v>29.6991176470588</v>
      </c>
    </row>
    <row r="307" customHeight="1" spans="1:13">
      <c r="A307" s="39">
        <v>306</v>
      </c>
      <c r="B307" s="39">
        <v>1</v>
      </c>
      <c r="C307" s="39">
        <v>1</v>
      </c>
      <c r="D307" s="40" t="s">
        <v>459</v>
      </c>
      <c r="E307" s="40" t="s">
        <v>13</v>
      </c>
      <c r="F307" s="39">
        <v>0.92</v>
      </c>
      <c r="G307" s="39">
        <v>1</v>
      </c>
      <c r="H307" s="39">
        <v>2</v>
      </c>
      <c r="I307" s="40">
        <v>113781</v>
      </c>
      <c r="J307" s="41">
        <v>151.55</v>
      </c>
      <c r="K307" s="42" t="s">
        <v>449</v>
      </c>
      <c r="L307" s="39" t="s">
        <v>15</v>
      </c>
      <c r="M307" s="38">
        <f t="shared" si="4"/>
        <v>0.92</v>
      </c>
    </row>
    <row r="308" customHeight="1" spans="1:13">
      <c r="A308" s="39">
        <v>307</v>
      </c>
      <c r="B308" s="39">
        <v>1</v>
      </c>
      <c r="C308" s="39">
        <v>1</v>
      </c>
      <c r="D308" s="40" t="s">
        <v>460</v>
      </c>
      <c r="E308" s="40" t="s">
        <v>17</v>
      </c>
      <c r="G308" s="39">
        <v>0</v>
      </c>
      <c r="H308" s="39">
        <v>0</v>
      </c>
      <c r="I308" s="40">
        <v>17421</v>
      </c>
      <c r="J308" s="41">
        <v>110.8833</v>
      </c>
      <c r="L308" s="39" t="s">
        <v>20</v>
      </c>
      <c r="M308" s="38">
        <f t="shared" si="4"/>
        <v>29.6991176470588</v>
      </c>
    </row>
    <row r="309" customHeight="1" spans="1:13">
      <c r="A309" s="39">
        <v>308</v>
      </c>
      <c r="B309" s="39">
        <v>1</v>
      </c>
      <c r="C309" s="39">
        <v>1</v>
      </c>
      <c r="D309" s="40" t="s">
        <v>461</v>
      </c>
      <c r="E309" s="40" t="s">
        <v>17</v>
      </c>
      <c r="F309" s="39">
        <v>17</v>
      </c>
      <c r="G309" s="39">
        <v>1</v>
      </c>
      <c r="H309" s="39">
        <v>0</v>
      </c>
      <c r="I309" s="40" t="s">
        <v>462</v>
      </c>
      <c r="J309" s="41">
        <v>108.9</v>
      </c>
      <c r="K309" s="42" t="s">
        <v>463</v>
      </c>
      <c r="L309" s="39" t="s">
        <v>20</v>
      </c>
      <c r="M309" s="38">
        <f t="shared" si="4"/>
        <v>17</v>
      </c>
    </row>
    <row r="310" customHeight="1" spans="1:13">
      <c r="A310" s="39">
        <v>309</v>
      </c>
      <c r="B310" s="39">
        <v>0</v>
      </c>
      <c r="C310" s="39">
        <v>2</v>
      </c>
      <c r="D310" s="40" t="s">
        <v>464</v>
      </c>
      <c r="E310" s="40" t="s">
        <v>13</v>
      </c>
      <c r="F310" s="39">
        <v>30</v>
      </c>
      <c r="G310" s="39">
        <v>1</v>
      </c>
      <c r="H310" s="39">
        <v>0</v>
      </c>
      <c r="I310" s="40" t="s">
        <v>465</v>
      </c>
      <c r="J310" s="41">
        <v>24</v>
      </c>
      <c r="L310" s="39" t="s">
        <v>20</v>
      </c>
      <c r="M310" s="38">
        <f t="shared" si="4"/>
        <v>30</v>
      </c>
    </row>
    <row r="311" customHeight="1" spans="1:13">
      <c r="A311" s="39">
        <v>310</v>
      </c>
      <c r="B311" s="39">
        <v>1</v>
      </c>
      <c r="C311" s="39">
        <v>1</v>
      </c>
      <c r="D311" s="40" t="s">
        <v>466</v>
      </c>
      <c r="E311" s="40" t="s">
        <v>17</v>
      </c>
      <c r="F311" s="39">
        <v>30</v>
      </c>
      <c r="G311" s="39">
        <v>0</v>
      </c>
      <c r="H311" s="39">
        <v>0</v>
      </c>
      <c r="I311" s="40" t="s">
        <v>467</v>
      </c>
      <c r="J311" s="41">
        <v>56.9292</v>
      </c>
      <c r="K311" s="42" t="s">
        <v>468</v>
      </c>
      <c r="L311" s="39" t="s">
        <v>20</v>
      </c>
      <c r="M311" s="38">
        <f t="shared" si="4"/>
        <v>30</v>
      </c>
    </row>
    <row r="312" customHeight="1" spans="1:13">
      <c r="A312" s="39">
        <v>311</v>
      </c>
      <c r="B312" s="39">
        <v>1</v>
      </c>
      <c r="C312" s="39">
        <v>1</v>
      </c>
      <c r="D312" s="40" t="s">
        <v>469</v>
      </c>
      <c r="E312" s="40" t="s">
        <v>17</v>
      </c>
      <c r="F312" s="39">
        <v>24</v>
      </c>
      <c r="G312" s="39">
        <v>0</v>
      </c>
      <c r="H312" s="39">
        <v>0</v>
      </c>
      <c r="I312" s="40">
        <v>11767</v>
      </c>
      <c r="J312" s="41">
        <v>83.1583</v>
      </c>
      <c r="K312" s="42" t="s">
        <v>470</v>
      </c>
      <c r="L312" s="39" t="s">
        <v>20</v>
      </c>
      <c r="M312" s="38">
        <f t="shared" si="4"/>
        <v>24</v>
      </c>
    </row>
    <row r="313" customHeight="1" spans="1:13">
      <c r="A313" s="39">
        <v>312</v>
      </c>
      <c r="B313" s="39">
        <v>1</v>
      </c>
      <c r="C313" s="39">
        <v>1</v>
      </c>
      <c r="D313" s="40" t="s">
        <v>471</v>
      </c>
      <c r="E313" s="40" t="s">
        <v>17</v>
      </c>
      <c r="F313" s="39">
        <v>18</v>
      </c>
      <c r="G313" s="39">
        <v>2</v>
      </c>
      <c r="H313" s="39">
        <v>2</v>
      </c>
      <c r="I313" s="40" t="s">
        <v>472</v>
      </c>
      <c r="J313" s="41">
        <v>262.375</v>
      </c>
      <c r="K313" s="42" t="s">
        <v>473</v>
      </c>
      <c r="L313" s="39" t="s">
        <v>20</v>
      </c>
      <c r="M313" s="38">
        <f t="shared" si="4"/>
        <v>18</v>
      </c>
    </row>
    <row r="314" customHeight="1" spans="1:13">
      <c r="A314" s="39">
        <v>313</v>
      </c>
      <c r="B314" s="39">
        <v>0</v>
      </c>
      <c r="C314" s="39">
        <v>2</v>
      </c>
      <c r="D314" s="40" t="s">
        <v>474</v>
      </c>
      <c r="E314" s="40" t="s">
        <v>17</v>
      </c>
      <c r="F314" s="39">
        <v>26</v>
      </c>
      <c r="G314" s="39">
        <v>1</v>
      </c>
      <c r="H314" s="39">
        <v>1</v>
      </c>
      <c r="I314" s="40">
        <v>250651</v>
      </c>
      <c r="J314" s="41">
        <v>26</v>
      </c>
      <c r="L314" s="39" t="s">
        <v>15</v>
      </c>
      <c r="M314" s="38">
        <f t="shared" si="4"/>
        <v>26</v>
      </c>
    </row>
    <row r="315" customHeight="1" spans="1:13">
      <c r="A315" s="39">
        <v>314</v>
      </c>
      <c r="B315" s="39">
        <v>0</v>
      </c>
      <c r="C315" s="39">
        <v>3</v>
      </c>
      <c r="D315" s="40" t="s">
        <v>475</v>
      </c>
      <c r="E315" s="40" t="s">
        <v>13</v>
      </c>
      <c r="F315" s="39">
        <v>28</v>
      </c>
      <c r="G315" s="39">
        <v>0</v>
      </c>
      <c r="H315" s="39">
        <v>0</v>
      </c>
      <c r="I315" s="40">
        <v>349243</v>
      </c>
      <c r="J315" s="41">
        <v>7.8958</v>
      </c>
      <c r="L315" s="39" t="s">
        <v>15</v>
      </c>
      <c r="M315" s="38">
        <f t="shared" si="4"/>
        <v>28</v>
      </c>
    </row>
    <row r="316" customHeight="1" spans="1:13">
      <c r="A316" s="39">
        <v>315</v>
      </c>
      <c r="B316" s="39">
        <v>0</v>
      </c>
      <c r="C316" s="39">
        <v>2</v>
      </c>
      <c r="D316" s="40" t="s">
        <v>476</v>
      </c>
      <c r="E316" s="40" t="s">
        <v>13</v>
      </c>
      <c r="F316" s="39">
        <v>43</v>
      </c>
      <c r="G316" s="39">
        <v>1</v>
      </c>
      <c r="H316" s="39">
        <v>1</v>
      </c>
      <c r="I316" s="40" t="s">
        <v>477</v>
      </c>
      <c r="J316" s="41">
        <v>26.25</v>
      </c>
      <c r="L316" s="39" t="s">
        <v>15</v>
      </c>
      <c r="M316" s="38">
        <f t="shared" si="4"/>
        <v>43</v>
      </c>
    </row>
    <row r="317" customHeight="1" spans="1:13">
      <c r="A317" s="39">
        <v>316</v>
      </c>
      <c r="B317" s="39">
        <v>1</v>
      </c>
      <c r="C317" s="39">
        <v>3</v>
      </c>
      <c r="D317" s="40" t="s">
        <v>478</v>
      </c>
      <c r="E317" s="40" t="s">
        <v>17</v>
      </c>
      <c r="F317" s="39">
        <v>26</v>
      </c>
      <c r="G317" s="39">
        <v>0</v>
      </c>
      <c r="H317" s="39">
        <v>0</v>
      </c>
      <c r="I317" s="40">
        <v>347470</v>
      </c>
      <c r="J317" s="41">
        <v>7.8542</v>
      </c>
      <c r="L317" s="39" t="s">
        <v>15</v>
      </c>
      <c r="M317" s="38">
        <f t="shared" si="4"/>
        <v>26</v>
      </c>
    </row>
    <row r="318" customHeight="1" spans="1:13">
      <c r="A318" s="39">
        <v>317</v>
      </c>
      <c r="B318" s="39">
        <v>1</v>
      </c>
      <c r="C318" s="39">
        <v>2</v>
      </c>
      <c r="D318" s="40" t="s">
        <v>479</v>
      </c>
      <c r="E318" s="40" t="s">
        <v>17</v>
      </c>
      <c r="F318" s="39">
        <v>24</v>
      </c>
      <c r="G318" s="39">
        <v>1</v>
      </c>
      <c r="H318" s="39">
        <v>0</v>
      </c>
      <c r="I318" s="40">
        <v>244367</v>
      </c>
      <c r="J318" s="41">
        <v>26</v>
      </c>
      <c r="L318" s="39" t="s">
        <v>15</v>
      </c>
      <c r="M318" s="38">
        <f t="shared" si="4"/>
        <v>24</v>
      </c>
    </row>
    <row r="319" customHeight="1" spans="1:13">
      <c r="A319" s="39">
        <v>318</v>
      </c>
      <c r="B319" s="39">
        <v>0</v>
      </c>
      <c r="C319" s="39">
        <v>2</v>
      </c>
      <c r="D319" s="40" t="s">
        <v>480</v>
      </c>
      <c r="E319" s="40" t="s">
        <v>13</v>
      </c>
      <c r="F319" s="39">
        <v>54</v>
      </c>
      <c r="G319" s="39">
        <v>0</v>
      </c>
      <c r="H319" s="39">
        <v>0</v>
      </c>
      <c r="I319" s="40">
        <v>29011</v>
      </c>
      <c r="J319" s="41">
        <v>14</v>
      </c>
      <c r="L319" s="39" t="s">
        <v>15</v>
      </c>
      <c r="M319" s="38">
        <f t="shared" si="4"/>
        <v>54</v>
      </c>
    </row>
    <row r="320" customHeight="1" spans="1:13">
      <c r="A320" s="39">
        <v>319</v>
      </c>
      <c r="B320" s="39">
        <v>1</v>
      </c>
      <c r="C320" s="39">
        <v>1</v>
      </c>
      <c r="D320" s="40" t="s">
        <v>481</v>
      </c>
      <c r="E320" s="40" t="s">
        <v>17</v>
      </c>
      <c r="F320" s="39">
        <v>31</v>
      </c>
      <c r="G320" s="39">
        <v>0</v>
      </c>
      <c r="H320" s="39">
        <v>2</v>
      </c>
      <c r="I320" s="40">
        <v>36928</v>
      </c>
      <c r="J320" s="41">
        <v>164.8667</v>
      </c>
      <c r="K320" s="42" t="s">
        <v>482</v>
      </c>
      <c r="L320" s="39" t="s">
        <v>15</v>
      </c>
      <c r="M320" s="38">
        <f t="shared" si="4"/>
        <v>31</v>
      </c>
    </row>
    <row r="321" customHeight="1" spans="1:13">
      <c r="A321" s="39">
        <v>320</v>
      </c>
      <c r="B321" s="39">
        <v>1</v>
      </c>
      <c r="C321" s="39">
        <v>1</v>
      </c>
      <c r="D321" s="40" t="s">
        <v>483</v>
      </c>
      <c r="E321" s="40" t="s">
        <v>17</v>
      </c>
      <c r="F321" s="39">
        <v>40</v>
      </c>
      <c r="G321" s="39">
        <v>1</v>
      </c>
      <c r="H321" s="39">
        <v>1</v>
      </c>
      <c r="I321" s="40">
        <v>16966</v>
      </c>
      <c r="J321" s="41">
        <v>134.5</v>
      </c>
      <c r="K321" s="42" t="s">
        <v>484</v>
      </c>
      <c r="L321" s="39" t="s">
        <v>20</v>
      </c>
      <c r="M321" s="38">
        <f t="shared" si="4"/>
        <v>40</v>
      </c>
    </row>
    <row r="322" customHeight="1" spans="1:13">
      <c r="A322" s="39">
        <v>321</v>
      </c>
      <c r="B322" s="39">
        <v>0</v>
      </c>
      <c r="C322" s="39">
        <v>3</v>
      </c>
      <c r="D322" s="40" t="s">
        <v>485</v>
      </c>
      <c r="E322" s="40" t="s">
        <v>13</v>
      </c>
      <c r="F322" s="39">
        <v>22</v>
      </c>
      <c r="G322" s="39">
        <v>0</v>
      </c>
      <c r="H322" s="39">
        <v>0</v>
      </c>
      <c r="I322" s="40" t="s">
        <v>486</v>
      </c>
      <c r="J322" s="41">
        <v>7.25</v>
      </c>
      <c r="L322" s="39" t="s">
        <v>15</v>
      </c>
      <c r="M322" s="38">
        <f t="shared" ref="M322:M385" si="5">IF(F322="",AVERAGE($F$2:$F$892),F322)</f>
        <v>22</v>
      </c>
    </row>
    <row r="323" customHeight="1" spans="1:13">
      <c r="A323" s="39">
        <v>322</v>
      </c>
      <c r="B323" s="39">
        <v>0</v>
      </c>
      <c r="C323" s="39">
        <v>3</v>
      </c>
      <c r="D323" s="40" t="s">
        <v>487</v>
      </c>
      <c r="E323" s="40" t="s">
        <v>13</v>
      </c>
      <c r="F323" s="39">
        <v>27</v>
      </c>
      <c r="G323" s="39">
        <v>0</v>
      </c>
      <c r="H323" s="39">
        <v>0</v>
      </c>
      <c r="I323" s="40">
        <v>349219</v>
      </c>
      <c r="J323" s="41">
        <v>7.8958</v>
      </c>
      <c r="L323" s="39" t="s">
        <v>15</v>
      </c>
      <c r="M323" s="38">
        <f t="shared" si="5"/>
        <v>27</v>
      </c>
    </row>
    <row r="324" customHeight="1" spans="1:13">
      <c r="A324" s="39">
        <v>323</v>
      </c>
      <c r="B324" s="39">
        <v>1</v>
      </c>
      <c r="C324" s="39">
        <v>2</v>
      </c>
      <c r="D324" s="40" t="s">
        <v>488</v>
      </c>
      <c r="E324" s="40" t="s">
        <v>17</v>
      </c>
      <c r="F324" s="39">
        <v>30</v>
      </c>
      <c r="G324" s="39">
        <v>0</v>
      </c>
      <c r="H324" s="39">
        <v>0</v>
      </c>
      <c r="I324" s="40">
        <v>234818</v>
      </c>
      <c r="J324" s="41">
        <v>12.35</v>
      </c>
      <c r="L324" s="39" t="s">
        <v>27</v>
      </c>
      <c r="M324" s="38">
        <f t="shared" si="5"/>
        <v>30</v>
      </c>
    </row>
    <row r="325" customHeight="1" spans="1:13">
      <c r="A325" s="39">
        <v>324</v>
      </c>
      <c r="B325" s="39">
        <v>1</v>
      </c>
      <c r="C325" s="39">
        <v>2</v>
      </c>
      <c r="D325" s="40" t="s">
        <v>489</v>
      </c>
      <c r="E325" s="40" t="s">
        <v>17</v>
      </c>
      <c r="F325" s="39">
        <v>22</v>
      </c>
      <c r="G325" s="39">
        <v>1</v>
      </c>
      <c r="H325" s="39">
        <v>1</v>
      </c>
      <c r="I325" s="40">
        <v>248738</v>
      </c>
      <c r="J325" s="41">
        <v>29</v>
      </c>
      <c r="L325" s="39" t="s">
        <v>15</v>
      </c>
      <c r="M325" s="38">
        <f t="shared" si="5"/>
        <v>22</v>
      </c>
    </row>
    <row r="326" customHeight="1" spans="1:13">
      <c r="A326" s="39">
        <v>325</v>
      </c>
      <c r="B326" s="39">
        <v>0</v>
      </c>
      <c r="C326" s="39">
        <v>3</v>
      </c>
      <c r="D326" s="40" t="s">
        <v>490</v>
      </c>
      <c r="E326" s="40" t="s">
        <v>13</v>
      </c>
      <c r="G326" s="39">
        <v>8</v>
      </c>
      <c r="H326" s="39">
        <v>2</v>
      </c>
      <c r="I326" s="40" t="s">
        <v>251</v>
      </c>
      <c r="J326" s="41">
        <v>69.55</v>
      </c>
      <c r="L326" s="39" t="s">
        <v>15</v>
      </c>
      <c r="M326" s="38">
        <f t="shared" si="5"/>
        <v>29.6991176470588</v>
      </c>
    </row>
    <row r="327" customHeight="1" spans="1:13">
      <c r="A327" s="39">
        <v>326</v>
      </c>
      <c r="B327" s="39">
        <v>1</v>
      </c>
      <c r="C327" s="39">
        <v>1</v>
      </c>
      <c r="D327" s="40" t="s">
        <v>491</v>
      </c>
      <c r="E327" s="40" t="s">
        <v>17</v>
      </c>
      <c r="F327" s="39">
        <v>36</v>
      </c>
      <c r="G327" s="39">
        <v>0</v>
      </c>
      <c r="H327" s="39">
        <v>0</v>
      </c>
      <c r="I327" s="40" t="s">
        <v>409</v>
      </c>
      <c r="J327" s="41">
        <v>135.6333</v>
      </c>
      <c r="K327" s="42" t="s">
        <v>492</v>
      </c>
      <c r="L327" s="39" t="s">
        <v>20</v>
      </c>
      <c r="M327" s="38">
        <f t="shared" si="5"/>
        <v>36</v>
      </c>
    </row>
    <row r="328" customHeight="1" spans="1:13">
      <c r="A328" s="39">
        <v>327</v>
      </c>
      <c r="B328" s="39">
        <v>0</v>
      </c>
      <c r="C328" s="39">
        <v>3</v>
      </c>
      <c r="D328" s="40" t="s">
        <v>493</v>
      </c>
      <c r="E328" s="40" t="s">
        <v>13</v>
      </c>
      <c r="F328" s="39">
        <v>61</v>
      </c>
      <c r="G328" s="39">
        <v>0</v>
      </c>
      <c r="H328" s="39">
        <v>0</v>
      </c>
      <c r="I328" s="40">
        <v>345364</v>
      </c>
      <c r="J328" s="41">
        <v>6.2375</v>
      </c>
      <c r="L328" s="39" t="s">
        <v>15</v>
      </c>
      <c r="M328" s="38">
        <f t="shared" si="5"/>
        <v>61</v>
      </c>
    </row>
    <row r="329" customHeight="1" spans="1:13">
      <c r="A329" s="39">
        <v>328</v>
      </c>
      <c r="B329" s="39">
        <v>1</v>
      </c>
      <c r="C329" s="39">
        <v>2</v>
      </c>
      <c r="D329" s="40" t="s">
        <v>494</v>
      </c>
      <c r="E329" s="40" t="s">
        <v>17</v>
      </c>
      <c r="F329" s="39">
        <v>36</v>
      </c>
      <c r="G329" s="39">
        <v>0</v>
      </c>
      <c r="H329" s="39">
        <v>0</v>
      </c>
      <c r="I329" s="40">
        <v>28551</v>
      </c>
      <c r="J329" s="41">
        <v>13</v>
      </c>
      <c r="K329" s="42" t="s">
        <v>442</v>
      </c>
      <c r="L329" s="39" t="s">
        <v>15</v>
      </c>
      <c r="M329" s="38">
        <f t="shared" si="5"/>
        <v>36</v>
      </c>
    </row>
    <row r="330" customHeight="1" spans="1:13">
      <c r="A330" s="39">
        <v>329</v>
      </c>
      <c r="B330" s="39">
        <v>1</v>
      </c>
      <c r="C330" s="39">
        <v>3</v>
      </c>
      <c r="D330" s="40" t="s">
        <v>495</v>
      </c>
      <c r="E330" s="40" t="s">
        <v>17</v>
      </c>
      <c r="F330" s="39">
        <v>31</v>
      </c>
      <c r="G330" s="39">
        <v>1</v>
      </c>
      <c r="H330" s="39">
        <v>1</v>
      </c>
      <c r="I330" s="40">
        <v>363291</v>
      </c>
      <c r="J330" s="41">
        <v>20.525</v>
      </c>
      <c r="L330" s="39" t="s">
        <v>15</v>
      </c>
      <c r="M330" s="38">
        <f t="shared" si="5"/>
        <v>31</v>
      </c>
    </row>
    <row r="331" customHeight="1" spans="1:13">
      <c r="A331" s="39">
        <v>330</v>
      </c>
      <c r="B331" s="39">
        <v>1</v>
      </c>
      <c r="C331" s="39">
        <v>1</v>
      </c>
      <c r="D331" s="40" t="s">
        <v>496</v>
      </c>
      <c r="E331" s="40" t="s">
        <v>17</v>
      </c>
      <c r="F331" s="39">
        <v>16</v>
      </c>
      <c r="G331" s="39">
        <v>0</v>
      </c>
      <c r="H331" s="39">
        <v>1</v>
      </c>
      <c r="I331" s="40">
        <v>111361</v>
      </c>
      <c r="J331" s="41">
        <v>57.9792</v>
      </c>
      <c r="K331" s="42" t="s">
        <v>497</v>
      </c>
      <c r="L331" s="39" t="s">
        <v>20</v>
      </c>
      <c r="M331" s="38">
        <f t="shared" si="5"/>
        <v>16</v>
      </c>
    </row>
    <row r="332" customHeight="1" spans="1:13">
      <c r="A332" s="39">
        <v>331</v>
      </c>
      <c r="B332" s="39">
        <v>1</v>
      </c>
      <c r="C332" s="39">
        <v>3</v>
      </c>
      <c r="D332" s="40" t="s">
        <v>498</v>
      </c>
      <c r="E332" s="40" t="s">
        <v>17</v>
      </c>
      <c r="G332" s="39">
        <v>2</v>
      </c>
      <c r="H332" s="39">
        <v>0</v>
      </c>
      <c r="I332" s="40">
        <v>367226</v>
      </c>
      <c r="J332" s="41">
        <v>23.25</v>
      </c>
      <c r="L332" s="39" t="s">
        <v>27</v>
      </c>
      <c r="M332" s="38">
        <f t="shared" si="5"/>
        <v>29.6991176470588</v>
      </c>
    </row>
    <row r="333" customHeight="1" spans="1:13">
      <c r="A333" s="39">
        <v>332</v>
      </c>
      <c r="B333" s="39">
        <v>0</v>
      </c>
      <c r="C333" s="39">
        <v>1</v>
      </c>
      <c r="D333" s="40" t="s">
        <v>499</v>
      </c>
      <c r="E333" s="40" t="s">
        <v>13</v>
      </c>
      <c r="F333" s="39">
        <v>45.5</v>
      </c>
      <c r="G333" s="39">
        <v>0</v>
      </c>
      <c r="H333" s="39">
        <v>0</v>
      </c>
      <c r="I333" s="40">
        <v>113043</v>
      </c>
      <c r="J333" s="41">
        <v>28.5</v>
      </c>
      <c r="K333" s="42" t="s">
        <v>500</v>
      </c>
      <c r="L333" s="39" t="s">
        <v>15</v>
      </c>
      <c r="M333" s="38">
        <f t="shared" si="5"/>
        <v>45.5</v>
      </c>
    </row>
    <row r="334" customHeight="1" spans="1:13">
      <c r="A334" s="39">
        <v>333</v>
      </c>
      <c r="B334" s="39">
        <v>0</v>
      </c>
      <c r="C334" s="39">
        <v>1</v>
      </c>
      <c r="D334" s="40" t="s">
        <v>501</v>
      </c>
      <c r="E334" s="40" t="s">
        <v>13</v>
      </c>
      <c r="F334" s="39">
        <v>38</v>
      </c>
      <c r="G334" s="39">
        <v>0</v>
      </c>
      <c r="H334" s="39">
        <v>1</v>
      </c>
      <c r="I334" s="40" t="s">
        <v>406</v>
      </c>
      <c r="J334" s="41">
        <v>153.4625</v>
      </c>
      <c r="K334" s="42" t="s">
        <v>502</v>
      </c>
      <c r="L334" s="39" t="s">
        <v>15</v>
      </c>
      <c r="M334" s="38">
        <f t="shared" si="5"/>
        <v>38</v>
      </c>
    </row>
    <row r="335" customHeight="1" spans="1:13">
      <c r="A335" s="39">
        <v>334</v>
      </c>
      <c r="B335" s="39">
        <v>0</v>
      </c>
      <c r="C335" s="39">
        <v>3</v>
      </c>
      <c r="D335" s="40" t="s">
        <v>503</v>
      </c>
      <c r="E335" s="40" t="s">
        <v>13</v>
      </c>
      <c r="F335" s="39">
        <v>16</v>
      </c>
      <c r="G335" s="39">
        <v>2</v>
      </c>
      <c r="H335" s="39">
        <v>0</v>
      </c>
      <c r="I335" s="40">
        <v>345764</v>
      </c>
      <c r="J335" s="41">
        <v>18</v>
      </c>
      <c r="L335" s="39" t="s">
        <v>15</v>
      </c>
      <c r="M335" s="38">
        <f t="shared" si="5"/>
        <v>16</v>
      </c>
    </row>
    <row r="336" customHeight="1" spans="1:13">
      <c r="A336" s="39">
        <v>335</v>
      </c>
      <c r="B336" s="39">
        <v>1</v>
      </c>
      <c r="C336" s="39">
        <v>1</v>
      </c>
      <c r="D336" s="40" t="s">
        <v>504</v>
      </c>
      <c r="E336" s="40" t="s">
        <v>17</v>
      </c>
      <c r="G336" s="39">
        <v>1</v>
      </c>
      <c r="H336" s="39">
        <v>0</v>
      </c>
      <c r="I336" s="40" t="s">
        <v>505</v>
      </c>
      <c r="J336" s="41">
        <v>133.65</v>
      </c>
      <c r="L336" s="39" t="s">
        <v>15</v>
      </c>
      <c r="M336" s="38">
        <f t="shared" si="5"/>
        <v>29.6991176470588</v>
      </c>
    </row>
    <row r="337" customHeight="1" spans="1:13">
      <c r="A337" s="39">
        <v>336</v>
      </c>
      <c r="B337" s="39">
        <v>0</v>
      </c>
      <c r="C337" s="39">
        <v>3</v>
      </c>
      <c r="D337" s="40" t="s">
        <v>506</v>
      </c>
      <c r="E337" s="40" t="s">
        <v>13</v>
      </c>
      <c r="G337" s="39">
        <v>0</v>
      </c>
      <c r="H337" s="39">
        <v>0</v>
      </c>
      <c r="I337" s="40">
        <v>349225</v>
      </c>
      <c r="J337" s="41">
        <v>7.8958</v>
      </c>
      <c r="L337" s="39" t="s">
        <v>15</v>
      </c>
      <c r="M337" s="38">
        <f t="shared" si="5"/>
        <v>29.6991176470588</v>
      </c>
    </row>
    <row r="338" customHeight="1" spans="1:13">
      <c r="A338" s="39">
        <v>337</v>
      </c>
      <c r="B338" s="39">
        <v>0</v>
      </c>
      <c r="C338" s="39">
        <v>1</v>
      </c>
      <c r="D338" s="40" t="s">
        <v>507</v>
      </c>
      <c r="E338" s="40" t="s">
        <v>13</v>
      </c>
      <c r="F338" s="39">
        <v>29</v>
      </c>
      <c r="G338" s="39">
        <v>1</v>
      </c>
      <c r="H338" s="39">
        <v>0</v>
      </c>
      <c r="I338" s="40">
        <v>113776</v>
      </c>
      <c r="J338" s="41">
        <v>66.6</v>
      </c>
      <c r="K338" s="42" t="s">
        <v>237</v>
      </c>
      <c r="L338" s="39" t="s">
        <v>15</v>
      </c>
      <c r="M338" s="38">
        <f t="shared" si="5"/>
        <v>29</v>
      </c>
    </row>
    <row r="339" customHeight="1" spans="1:13">
      <c r="A339" s="39">
        <v>338</v>
      </c>
      <c r="B339" s="39">
        <v>1</v>
      </c>
      <c r="C339" s="39">
        <v>1</v>
      </c>
      <c r="D339" s="40" t="s">
        <v>508</v>
      </c>
      <c r="E339" s="40" t="s">
        <v>17</v>
      </c>
      <c r="F339" s="39">
        <v>41</v>
      </c>
      <c r="G339" s="39">
        <v>0</v>
      </c>
      <c r="H339" s="39">
        <v>0</v>
      </c>
      <c r="I339" s="40">
        <v>16966</v>
      </c>
      <c r="J339" s="41">
        <v>134.5</v>
      </c>
      <c r="K339" s="42" t="s">
        <v>509</v>
      </c>
      <c r="L339" s="39" t="s">
        <v>20</v>
      </c>
      <c r="M339" s="38">
        <f t="shared" si="5"/>
        <v>41</v>
      </c>
    </row>
    <row r="340" customHeight="1" spans="1:13">
      <c r="A340" s="39">
        <v>339</v>
      </c>
      <c r="B340" s="39">
        <v>1</v>
      </c>
      <c r="C340" s="39">
        <v>3</v>
      </c>
      <c r="D340" s="40" t="s">
        <v>510</v>
      </c>
      <c r="E340" s="40" t="s">
        <v>13</v>
      </c>
      <c r="F340" s="39">
        <v>45</v>
      </c>
      <c r="G340" s="39">
        <v>0</v>
      </c>
      <c r="H340" s="39">
        <v>0</v>
      </c>
      <c r="I340" s="40">
        <v>7598</v>
      </c>
      <c r="J340" s="41">
        <v>8.05</v>
      </c>
      <c r="L340" s="39" t="s">
        <v>15</v>
      </c>
      <c r="M340" s="38">
        <f t="shared" si="5"/>
        <v>45</v>
      </c>
    </row>
    <row r="341" customHeight="1" spans="1:13">
      <c r="A341" s="39">
        <v>340</v>
      </c>
      <c r="B341" s="39">
        <v>0</v>
      </c>
      <c r="C341" s="39">
        <v>1</v>
      </c>
      <c r="D341" s="40" t="s">
        <v>511</v>
      </c>
      <c r="E341" s="40" t="s">
        <v>13</v>
      </c>
      <c r="F341" s="39">
        <v>45</v>
      </c>
      <c r="G341" s="39">
        <v>0</v>
      </c>
      <c r="H341" s="39">
        <v>0</v>
      </c>
      <c r="I341" s="40">
        <v>113784</v>
      </c>
      <c r="J341" s="41">
        <v>35.5</v>
      </c>
      <c r="K341" s="42" t="s">
        <v>512</v>
      </c>
      <c r="L341" s="39" t="s">
        <v>15</v>
      </c>
      <c r="M341" s="38">
        <f t="shared" si="5"/>
        <v>45</v>
      </c>
    </row>
    <row r="342" customHeight="1" spans="1:13">
      <c r="A342" s="39">
        <v>341</v>
      </c>
      <c r="B342" s="39">
        <v>1</v>
      </c>
      <c r="C342" s="39">
        <v>2</v>
      </c>
      <c r="D342" s="40" t="s">
        <v>513</v>
      </c>
      <c r="E342" s="40" t="s">
        <v>13</v>
      </c>
      <c r="F342" s="39">
        <v>2</v>
      </c>
      <c r="G342" s="39">
        <v>1</v>
      </c>
      <c r="H342" s="39">
        <v>1</v>
      </c>
      <c r="I342" s="40">
        <v>230080</v>
      </c>
      <c r="J342" s="41">
        <v>26</v>
      </c>
      <c r="K342" s="42" t="s">
        <v>232</v>
      </c>
      <c r="L342" s="39" t="s">
        <v>15</v>
      </c>
      <c r="M342" s="38">
        <f t="shared" si="5"/>
        <v>2</v>
      </c>
    </row>
    <row r="343" customHeight="1" spans="1:13">
      <c r="A343" s="39">
        <v>342</v>
      </c>
      <c r="B343" s="39">
        <v>1</v>
      </c>
      <c r="C343" s="39">
        <v>1</v>
      </c>
      <c r="D343" s="40" t="s">
        <v>514</v>
      </c>
      <c r="E343" s="40" t="s">
        <v>17</v>
      </c>
      <c r="F343" s="39">
        <v>24</v>
      </c>
      <c r="G343" s="39">
        <v>3</v>
      </c>
      <c r="H343" s="39">
        <v>2</v>
      </c>
      <c r="I343" s="40">
        <v>19950</v>
      </c>
      <c r="J343" s="41">
        <v>263</v>
      </c>
      <c r="K343" s="42" t="s">
        <v>57</v>
      </c>
      <c r="L343" s="39" t="s">
        <v>15</v>
      </c>
      <c r="M343" s="38">
        <f t="shared" si="5"/>
        <v>24</v>
      </c>
    </row>
    <row r="344" customHeight="1" spans="1:13">
      <c r="A344" s="39">
        <v>343</v>
      </c>
      <c r="B344" s="39">
        <v>0</v>
      </c>
      <c r="C344" s="39">
        <v>2</v>
      </c>
      <c r="D344" s="40" t="s">
        <v>515</v>
      </c>
      <c r="E344" s="40" t="s">
        <v>13</v>
      </c>
      <c r="F344" s="39">
        <v>28</v>
      </c>
      <c r="G344" s="39">
        <v>0</v>
      </c>
      <c r="H344" s="39">
        <v>0</v>
      </c>
      <c r="I344" s="40">
        <v>248740</v>
      </c>
      <c r="J344" s="41">
        <v>13</v>
      </c>
      <c r="L344" s="39" t="s">
        <v>15</v>
      </c>
      <c r="M344" s="38">
        <f t="shared" si="5"/>
        <v>28</v>
      </c>
    </row>
    <row r="345" customHeight="1" spans="1:13">
      <c r="A345" s="39">
        <v>344</v>
      </c>
      <c r="B345" s="39">
        <v>0</v>
      </c>
      <c r="C345" s="39">
        <v>2</v>
      </c>
      <c r="D345" s="40" t="s">
        <v>516</v>
      </c>
      <c r="E345" s="40" t="s">
        <v>13</v>
      </c>
      <c r="F345" s="39">
        <v>25</v>
      </c>
      <c r="G345" s="39">
        <v>0</v>
      </c>
      <c r="H345" s="39">
        <v>0</v>
      </c>
      <c r="I345" s="40">
        <v>244361</v>
      </c>
      <c r="J345" s="41">
        <v>13</v>
      </c>
      <c r="L345" s="39" t="s">
        <v>15</v>
      </c>
      <c r="M345" s="38">
        <f t="shared" si="5"/>
        <v>25</v>
      </c>
    </row>
    <row r="346" customHeight="1" spans="1:13">
      <c r="A346" s="39">
        <v>345</v>
      </c>
      <c r="B346" s="39">
        <v>0</v>
      </c>
      <c r="C346" s="39">
        <v>2</v>
      </c>
      <c r="D346" s="40" t="s">
        <v>517</v>
      </c>
      <c r="E346" s="40" t="s">
        <v>13</v>
      </c>
      <c r="F346" s="39">
        <v>36</v>
      </c>
      <c r="G346" s="39">
        <v>0</v>
      </c>
      <c r="H346" s="39">
        <v>0</v>
      </c>
      <c r="I346" s="40">
        <v>229236</v>
      </c>
      <c r="J346" s="41">
        <v>13</v>
      </c>
      <c r="L346" s="39" t="s">
        <v>15</v>
      </c>
      <c r="M346" s="38">
        <f t="shared" si="5"/>
        <v>36</v>
      </c>
    </row>
    <row r="347" customHeight="1" spans="1:13">
      <c r="A347" s="39">
        <v>346</v>
      </c>
      <c r="B347" s="39">
        <v>1</v>
      </c>
      <c r="C347" s="39">
        <v>2</v>
      </c>
      <c r="D347" s="40" t="s">
        <v>518</v>
      </c>
      <c r="E347" s="40" t="s">
        <v>17</v>
      </c>
      <c r="F347" s="39">
        <v>24</v>
      </c>
      <c r="G347" s="39">
        <v>0</v>
      </c>
      <c r="H347" s="39">
        <v>0</v>
      </c>
      <c r="I347" s="40">
        <v>248733</v>
      </c>
      <c r="J347" s="41">
        <v>13</v>
      </c>
      <c r="K347" s="42" t="s">
        <v>117</v>
      </c>
      <c r="L347" s="39" t="s">
        <v>15</v>
      </c>
      <c r="M347" s="38">
        <f t="shared" si="5"/>
        <v>24</v>
      </c>
    </row>
    <row r="348" customHeight="1" spans="1:13">
      <c r="A348" s="39">
        <v>347</v>
      </c>
      <c r="B348" s="39">
        <v>1</v>
      </c>
      <c r="C348" s="39">
        <v>2</v>
      </c>
      <c r="D348" s="40" t="s">
        <v>519</v>
      </c>
      <c r="E348" s="40" t="s">
        <v>17</v>
      </c>
      <c r="F348" s="39">
        <v>40</v>
      </c>
      <c r="G348" s="39">
        <v>0</v>
      </c>
      <c r="H348" s="39">
        <v>0</v>
      </c>
      <c r="I348" s="40">
        <v>31418</v>
      </c>
      <c r="J348" s="41">
        <v>13</v>
      </c>
      <c r="L348" s="39" t="s">
        <v>15</v>
      </c>
      <c r="M348" s="38">
        <f t="shared" si="5"/>
        <v>40</v>
      </c>
    </row>
    <row r="349" customHeight="1" spans="1:13">
      <c r="A349" s="39">
        <v>348</v>
      </c>
      <c r="B349" s="39">
        <v>1</v>
      </c>
      <c r="C349" s="39">
        <v>3</v>
      </c>
      <c r="D349" s="40" t="s">
        <v>520</v>
      </c>
      <c r="E349" s="40" t="s">
        <v>17</v>
      </c>
      <c r="G349" s="39">
        <v>1</v>
      </c>
      <c r="H349" s="39">
        <v>0</v>
      </c>
      <c r="I349" s="40">
        <v>386525</v>
      </c>
      <c r="J349" s="41">
        <v>16.1</v>
      </c>
      <c r="L349" s="39" t="s">
        <v>15</v>
      </c>
      <c r="M349" s="38">
        <f t="shared" si="5"/>
        <v>29.6991176470588</v>
      </c>
    </row>
    <row r="350" customHeight="1" spans="1:13">
      <c r="A350" s="39">
        <v>349</v>
      </c>
      <c r="B350" s="39">
        <v>1</v>
      </c>
      <c r="C350" s="39">
        <v>3</v>
      </c>
      <c r="D350" s="40" t="s">
        <v>521</v>
      </c>
      <c r="E350" s="40" t="s">
        <v>13</v>
      </c>
      <c r="F350" s="39">
        <v>3</v>
      </c>
      <c r="G350" s="39">
        <v>1</v>
      </c>
      <c r="H350" s="39">
        <v>1</v>
      </c>
      <c r="I350" s="40" t="s">
        <v>522</v>
      </c>
      <c r="J350" s="41">
        <v>15.9</v>
      </c>
      <c r="L350" s="39" t="s">
        <v>15</v>
      </c>
      <c r="M350" s="38">
        <f t="shared" si="5"/>
        <v>3</v>
      </c>
    </row>
    <row r="351" customHeight="1" spans="1:13">
      <c r="A351" s="39">
        <v>350</v>
      </c>
      <c r="B351" s="39">
        <v>0</v>
      </c>
      <c r="C351" s="39">
        <v>3</v>
      </c>
      <c r="D351" s="40" t="s">
        <v>523</v>
      </c>
      <c r="E351" s="40" t="s">
        <v>13</v>
      </c>
      <c r="F351" s="39">
        <v>42</v>
      </c>
      <c r="G351" s="39">
        <v>0</v>
      </c>
      <c r="H351" s="39">
        <v>0</v>
      </c>
      <c r="I351" s="40">
        <v>315088</v>
      </c>
      <c r="J351" s="41">
        <v>8.6625</v>
      </c>
      <c r="L351" s="39" t="s">
        <v>15</v>
      </c>
      <c r="M351" s="38">
        <f t="shared" si="5"/>
        <v>42</v>
      </c>
    </row>
    <row r="352" customHeight="1" spans="1:13">
      <c r="A352" s="39">
        <v>351</v>
      </c>
      <c r="B352" s="39">
        <v>0</v>
      </c>
      <c r="C352" s="39">
        <v>3</v>
      </c>
      <c r="D352" s="40" t="s">
        <v>524</v>
      </c>
      <c r="E352" s="40" t="s">
        <v>13</v>
      </c>
      <c r="F352" s="39">
        <v>23</v>
      </c>
      <c r="G352" s="39">
        <v>0</v>
      </c>
      <c r="H352" s="39">
        <v>0</v>
      </c>
      <c r="I352" s="40">
        <v>7267</v>
      </c>
      <c r="J352" s="41">
        <v>9.225</v>
      </c>
      <c r="L352" s="39" t="s">
        <v>15</v>
      </c>
      <c r="M352" s="38">
        <f t="shared" si="5"/>
        <v>23</v>
      </c>
    </row>
    <row r="353" customHeight="1" spans="1:13">
      <c r="A353" s="39">
        <v>352</v>
      </c>
      <c r="B353" s="39">
        <v>0</v>
      </c>
      <c r="C353" s="39">
        <v>1</v>
      </c>
      <c r="D353" s="40" t="s">
        <v>525</v>
      </c>
      <c r="E353" s="40" t="s">
        <v>13</v>
      </c>
      <c r="G353" s="39">
        <v>0</v>
      </c>
      <c r="H353" s="39">
        <v>0</v>
      </c>
      <c r="I353" s="40">
        <v>113510</v>
      </c>
      <c r="J353" s="41">
        <v>35</v>
      </c>
      <c r="K353" s="42" t="s">
        <v>526</v>
      </c>
      <c r="L353" s="39" t="s">
        <v>15</v>
      </c>
      <c r="M353" s="38">
        <f t="shared" si="5"/>
        <v>29.6991176470588</v>
      </c>
    </row>
    <row r="354" customHeight="1" spans="1:13">
      <c r="A354" s="39">
        <v>353</v>
      </c>
      <c r="B354" s="39">
        <v>0</v>
      </c>
      <c r="C354" s="39">
        <v>3</v>
      </c>
      <c r="D354" s="40" t="s">
        <v>527</v>
      </c>
      <c r="E354" s="40" t="s">
        <v>13</v>
      </c>
      <c r="F354" s="39">
        <v>15</v>
      </c>
      <c r="G354" s="39">
        <v>1</v>
      </c>
      <c r="H354" s="39">
        <v>1</v>
      </c>
      <c r="I354" s="40">
        <v>2695</v>
      </c>
      <c r="J354" s="41">
        <v>7.2292</v>
      </c>
      <c r="L354" s="39" t="s">
        <v>20</v>
      </c>
      <c r="M354" s="38">
        <f t="shared" si="5"/>
        <v>15</v>
      </c>
    </row>
    <row r="355" customHeight="1" spans="1:13">
      <c r="A355" s="39">
        <v>354</v>
      </c>
      <c r="B355" s="39">
        <v>0</v>
      </c>
      <c r="C355" s="39">
        <v>3</v>
      </c>
      <c r="D355" s="40" t="s">
        <v>528</v>
      </c>
      <c r="E355" s="40" t="s">
        <v>13</v>
      </c>
      <c r="F355" s="39">
        <v>25</v>
      </c>
      <c r="G355" s="39">
        <v>1</v>
      </c>
      <c r="H355" s="39">
        <v>0</v>
      </c>
      <c r="I355" s="40">
        <v>349237</v>
      </c>
      <c r="J355" s="41">
        <v>17.8</v>
      </c>
      <c r="L355" s="39" t="s">
        <v>15</v>
      </c>
      <c r="M355" s="38">
        <f t="shared" si="5"/>
        <v>25</v>
      </c>
    </row>
    <row r="356" customHeight="1" spans="1:13">
      <c r="A356" s="39">
        <v>355</v>
      </c>
      <c r="B356" s="39">
        <v>0</v>
      </c>
      <c r="C356" s="39">
        <v>3</v>
      </c>
      <c r="D356" s="40" t="s">
        <v>529</v>
      </c>
      <c r="E356" s="40" t="s">
        <v>13</v>
      </c>
      <c r="G356" s="39">
        <v>0</v>
      </c>
      <c r="H356" s="39">
        <v>0</v>
      </c>
      <c r="I356" s="40">
        <v>2647</v>
      </c>
      <c r="J356" s="41">
        <v>7.225</v>
      </c>
      <c r="L356" s="39" t="s">
        <v>20</v>
      </c>
      <c r="M356" s="38">
        <f t="shared" si="5"/>
        <v>29.6991176470588</v>
      </c>
    </row>
    <row r="357" customHeight="1" spans="1:13">
      <c r="A357" s="39">
        <v>356</v>
      </c>
      <c r="B357" s="39">
        <v>0</v>
      </c>
      <c r="C357" s="39">
        <v>3</v>
      </c>
      <c r="D357" s="40" t="s">
        <v>530</v>
      </c>
      <c r="E357" s="40" t="s">
        <v>13</v>
      </c>
      <c r="F357" s="39">
        <v>28</v>
      </c>
      <c r="G357" s="39">
        <v>0</v>
      </c>
      <c r="H357" s="39">
        <v>0</v>
      </c>
      <c r="I357" s="40">
        <v>345783</v>
      </c>
      <c r="J357" s="41">
        <v>9.5</v>
      </c>
      <c r="L357" s="39" t="s">
        <v>15</v>
      </c>
      <c r="M357" s="38">
        <f t="shared" si="5"/>
        <v>28</v>
      </c>
    </row>
    <row r="358" customHeight="1" spans="1:13">
      <c r="A358" s="39">
        <v>357</v>
      </c>
      <c r="B358" s="39">
        <v>1</v>
      </c>
      <c r="C358" s="39">
        <v>1</v>
      </c>
      <c r="D358" s="40" t="s">
        <v>531</v>
      </c>
      <c r="E358" s="40" t="s">
        <v>17</v>
      </c>
      <c r="F358" s="39">
        <v>22</v>
      </c>
      <c r="G358" s="39">
        <v>0</v>
      </c>
      <c r="H358" s="39">
        <v>1</v>
      </c>
      <c r="I358" s="40">
        <v>113505</v>
      </c>
      <c r="J358" s="41">
        <v>55</v>
      </c>
      <c r="K358" s="42" t="s">
        <v>260</v>
      </c>
      <c r="L358" s="39" t="s">
        <v>15</v>
      </c>
      <c r="M358" s="38">
        <f t="shared" si="5"/>
        <v>22</v>
      </c>
    </row>
    <row r="359" customHeight="1" spans="1:13">
      <c r="A359" s="39">
        <v>358</v>
      </c>
      <c r="B359" s="39">
        <v>0</v>
      </c>
      <c r="C359" s="39">
        <v>2</v>
      </c>
      <c r="D359" s="40" t="s">
        <v>532</v>
      </c>
      <c r="E359" s="40" t="s">
        <v>17</v>
      </c>
      <c r="F359" s="39">
        <v>38</v>
      </c>
      <c r="G359" s="39">
        <v>0</v>
      </c>
      <c r="H359" s="39">
        <v>0</v>
      </c>
      <c r="I359" s="40">
        <v>237671</v>
      </c>
      <c r="J359" s="41">
        <v>13</v>
      </c>
      <c r="L359" s="39" t="s">
        <v>15</v>
      </c>
      <c r="M359" s="38">
        <f t="shared" si="5"/>
        <v>38</v>
      </c>
    </row>
    <row r="360" customHeight="1" spans="1:13">
      <c r="A360" s="39">
        <v>359</v>
      </c>
      <c r="B360" s="39">
        <v>1</v>
      </c>
      <c r="C360" s="39">
        <v>3</v>
      </c>
      <c r="D360" s="40" t="s">
        <v>533</v>
      </c>
      <c r="E360" s="40" t="s">
        <v>17</v>
      </c>
      <c r="G360" s="39">
        <v>0</v>
      </c>
      <c r="H360" s="39">
        <v>0</v>
      </c>
      <c r="I360" s="40">
        <v>330931</v>
      </c>
      <c r="J360" s="41">
        <v>7.8792</v>
      </c>
      <c r="L360" s="39" t="s">
        <v>27</v>
      </c>
      <c r="M360" s="38">
        <f t="shared" si="5"/>
        <v>29.6991176470588</v>
      </c>
    </row>
    <row r="361" customHeight="1" spans="1:13">
      <c r="A361" s="39">
        <v>360</v>
      </c>
      <c r="B361" s="39">
        <v>1</v>
      </c>
      <c r="C361" s="39">
        <v>3</v>
      </c>
      <c r="D361" s="40" t="s">
        <v>534</v>
      </c>
      <c r="E361" s="40" t="s">
        <v>17</v>
      </c>
      <c r="G361" s="39">
        <v>0</v>
      </c>
      <c r="H361" s="39">
        <v>0</v>
      </c>
      <c r="I361" s="40">
        <v>330980</v>
      </c>
      <c r="J361" s="41">
        <v>7.8792</v>
      </c>
      <c r="L361" s="39" t="s">
        <v>27</v>
      </c>
      <c r="M361" s="38">
        <f t="shared" si="5"/>
        <v>29.6991176470588</v>
      </c>
    </row>
    <row r="362" customHeight="1" spans="1:13">
      <c r="A362" s="39">
        <v>361</v>
      </c>
      <c r="B362" s="39">
        <v>0</v>
      </c>
      <c r="C362" s="39">
        <v>3</v>
      </c>
      <c r="D362" s="40" t="s">
        <v>535</v>
      </c>
      <c r="E362" s="40" t="s">
        <v>13</v>
      </c>
      <c r="F362" s="39">
        <v>40</v>
      </c>
      <c r="G362" s="39">
        <v>1</v>
      </c>
      <c r="H362" s="39">
        <v>4</v>
      </c>
      <c r="I362" s="40">
        <v>347088</v>
      </c>
      <c r="J362" s="41">
        <v>27.9</v>
      </c>
      <c r="L362" s="39" t="s">
        <v>15</v>
      </c>
      <c r="M362" s="38">
        <f t="shared" si="5"/>
        <v>40</v>
      </c>
    </row>
    <row r="363" customHeight="1" spans="1:13">
      <c r="A363" s="39">
        <v>362</v>
      </c>
      <c r="B363" s="39">
        <v>0</v>
      </c>
      <c r="C363" s="39">
        <v>2</v>
      </c>
      <c r="D363" s="40" t="s">
        <v>536</v>
      </c>
      <c r="E363" s="40" t="s">
        <v>13</v>
      </c>
      <c r="F363" s="39">
        <v>29</v>
      </c>
      <c r="G363" s="39">
        <v>1</v>
      </c>
      <c r="H363" s="39">
        <v>0</v>
      </c>
      <c r="I363" s="40" t="s">
        <v>537</v>
      </c>
      <c r="J363" s="41">
        <v>27.7208</v>
      </c>
      <c r="L363" s="39" t="s">
        <v>20</v>
      </c>
      <c r="M363" s="38">
        <f t="shared" si="5"/>
        <v>29</v>
      </c>
    </row>
    <row r="364" customHeight="1" spans="1:13">
      <c r="A364" s="39">
        <v>363</v>
      </c>
      <c r="B364" s="39">
        <v>0</v>
      </c>
      <c r="C364" s="39">
        <v>3</v>
      </c>
      <c r="D364" s="40" t="s">
        <v>538</v>
      </c>
      <c r="E364" s="40" t="s">
        <v>17</v>
      </c>
      <c r="F364" s="39">
        <v>45</v>
      </c>
      <c r="G364" s="39">
        <v>0</v>
      </c>
      <c r="H364" s="39">
        <v>1</v>
      </c>
      <c r="I364" s="40">
        <v>2691</v>
      </c>
      <c r="J364" s="41">
        <v>14.4542</v>
      </c>
      <c r="L364" s="39" t="s">
        <v>20</v>
      </c>
      <c r="M364" s="38">
        <f t="shared" si="5"/>
        <v>45</v>
      </c>
    </row>
    <row r="365" customHeight="1" spans="1:13">
      <c r="A365" s="39">
        <v>364</v>
      </c>
      <c r="B365" s="39">
        <v>0</v>
      </c>
      <c r="C365" s="39">
        <v>3</v>
      </c>
      <c r="D365" s="40" t="s">
        <v>539</v>
      </c>
      <c r="E365" s="40" t="s">
        <v>13</v>
      </c>
      <c r="F365" s="39">
        <v>35</v>
      </c>
      <c r="G365" s="39">
        <v>0</v>
      </c>
      <c r="H365" s="39">
        <v>0</v>
      </c>
      <c r="I365" s="40" t="s">
        <v>540</v>
      </c>
      <c r="J365" s="41">
        <v>7.05</v>
      </c>
      <c r="L365" s="39" t="s">
        <v>15</v>
      </c>
      <c r="M365" s="38">
        <f t="shared" si="5"/>
        <v>35</v>
      </c>
    </row>
    <row r="366" customHeight="1" spans="1:13">
      <c r="A366" s="39">
        <v>365</v>
      </c>
      <c r="B366" s="39">
        <v>0</v>
      </c>
      <c r="C366" s="39">
        <v>3</v>
      </c>
      <c r="D366" s="40" t="s">
        <v>541</v>
      </c>
      <c r="E366" s="40" t="s">
        <v>13</v>
      </c>
      <c r="G366" s="39">
        <v>1</v>
      </c>
      <c r="H366" s="39">
        <v>0</v>
      </c>
      <c r="I366" s="40">
        <v>370365</v>
      </c>
      <c r="J366" s="41">
        <v>15.5</v>
      </c>
      <c r="L366" s="39" t="s">
        <v>27</v>
      </c>
      <c r="M366" s="38">
        <f t="shared" si="5"/>
        <v>29.6991176470588</v>
      </c>
    </row>
    <row r="367" customHeight="1" spans="1:13">
      <c r="A367" s="39">
        <v>366</v>
      </c>
      <c r="B367" s="39">
        <v>0</v>
      </c>
      <c r="C367" s="39">
        <v>3</v>
      </c>
      <c r="D367" s="40" t="s">
        <v>542</v>
      </c>
      <c r="E367" s="40" t="s">
        <v>13</v>
      </c>
      <c r="F367" s="39">
        <v>30</v>
      </c>
      <c r="G367" s="39">
        <v>0</v>
      </c>
      <c r="H367" s="39">
        <v>0</v>
      </c>
      <c r="I367" s="40" t="s">
        <v>543</v>
      </c>
      <c r="J367" s="41">
        <v>7.25</v>
      </c>
      <c r="L367" s="39" t="s">
        <v>15</v>
      </c>
      <c r="M367" s="38">
        <f t="shared" si="5"/>
        <v>30</v>
      </c>
    </row>
    <row r="368" customHeight="1" spans="1:13">
      <c r="A368" s="39">
        <v>367</v>
      </c>
      <c r="B368" s="39">
        <v>1</v>
      </c>
      <c r="C368" s="39">
        <v>1</v>
      </c>
      <c r="D368" s="40" t="s">
        <v>544</v>
      </c>
      <c r="E368" s="40" t="s">
        <v>17</v>
      </c>
      <c r="F368" s="39">
        <v>60</v>
      </c>
      <c r="G368" s="39">
        <v>1</v>
      </c>
      <c r="H368" s="39">
        <v>0</v>
      </c>
      <c r="I368" s="40">
        <v>110813</v>
      </c>
      <c r="J368" s="41">
        <v>75.25</v>
      </c>
      <c r="K368" s="42" t="s">
        <v>545</v>
      </c>
      <c r="L368" s="39" t="s">
        <v>20</v>
      </c>
      <c r="M368" s="38">
        <f t="shared" si="5"/>
        <v>60</v>
      </c>
    </row>
    <row r="369" customHeight="1" spans="1:13">
      <c r="A369" s="39">
        <v>368</v>
      </c>
      <c r="B369" s="39">
        <v>1</v>
      </c>
      <c r="C369" s="39">
        <v>3</v>
      </c>
      <c r="D369" s="40" t="s">
        <v>546</v>
      </c>
      <c r="E369" s="40" t="s">
        <v>17</v>
      </c>
      <c r="G369" s="39">
        <v>0</v>
      </c>
      <c r="H369" s="39">
        <v>0</v>
      </c>
      <c r="I369" s="40">
        <v>2626</v>
      </c>
      <c r="J369" s="41">
        <v>7.2292</v>
      </c>
      <c r="L369" s="39" t="s">
        <v>20</v>
      </c>
      <c r="M369" s="38">
        <f t="shared" si="5"/>
        <v>29.6991176470588</v>
      </c>
    </row>
    <row r="370" customHeight="1" spans="1:13">
      <c r="A370" s="39">
        <v>369</v>
      </c>
      <c r="B370" s="39">
        <v>1</v>
      </c>
      <c r="C370" s="39">
        <v>3</v>
      </c>
      <c r="D370" s="40" t="s">
        <v>547</v>
      </c>
      <c r="E370" s="40" t="s">
        <v>17</v>
      </c>
      <c r="G370" s="39">
        <v>0</v>
      </c>
      <c r="H370" s="39">
        <v>0</v>
      </c>
      <c r="I370" s="40">
        <v>14313</v>
      </c>
      <c r="J370" s="41">
        <v>7.75</v>
      </c>
      <c r="L370" s="39" t="s">
        <v>27</v>
      </c>
      <c r="M370" s="38">
        <f t="shared" si="5"/>
        <v>29.6991176470588</v>
      </c>
    </row>
    <row r="371" customHeight="1" spans="1:13">
      <c r="A371" s="39">
        <v>370</v>
      </c>
      <c r="B371" s="39">
        <v>1</v>
      </c>
      <c r="C371" s="39">
        <v>1</v>
      </c>
      <c r="D371" s="40" t="s">
        <v>548</v>
      </c>
      <c r="E371" s="40" t="s">
        <v>17</v>
      </c>
      <c r="F371" s="39">
        <v>24</v>
      </c>
      <c r="G371" s="39">
        <v>0</v>
      </c>
      <c r="H371" s="39">
        <v>0</v>
      </c>
      <c r="I371" s="40" t="s">
        <v>549</v>
      </c>
      <c r="J371" s="41">
        <v>69.3</v>
      </c>
      <c r="K371" s="42" t="s">
        <v>550</v>
      </c>
      <c r="L371" s="39" t="s">
        <v>20</v>
      </c>
      <c r="M371" s="38">
        <f t="shared" si="5"/>
        <v>24</v>
      </c>
    </row>
    <row r="372" customHeight="1" spans="1:13">
      <c r="A372" s="39">
        <v>371</v>
      </c>
      <c r="B372" s="39">
        <v>1</v>
      </c>
      <c r="C372" s="39">
        <v>1</v>
      </c>
      <c r="D372" s="40" t="s">
        <v>551</v>
      </c>
      <c r="E372" s="40" t="s">
        <v>13</v>
      </c>
      <c r="F372" s="39">
        <v>25</v>
      </c>
      <c r="G372" s="39">
        <v>1</v>
      </c>
      <c r="H372" s="39">
        <v>0</v>
      </c>
      <c r="I372" s="40">
        <v>11765</v>
      </c>
      <c r="J372" s="41">
        <v>55.4417</v>
      </c>
      <c r="K372" s="42" t="s">
        <v>552</v>
      </c>
      <c r="L372" s="39" t="s">
        <v>20</v>
      </c>
      <c r="M372" s="38">
        <f t="shared" si="5"/>
        <v>25</v>
      </c>
    </row>
    <row r="373" customHeight="1" spans="1:13">
      <c r="A373" s="39">
        <v>372</v>
      </c>
      <c r="B373" s="39">
        <v>0</v>
      </c>
      <c r="C373" s="39">
        <v>3</v>
      </c>
      <c r="D373" s="40" t="s">
        <v>553</v>
      </c>
      <c r="E373" s="40" t="s">
        <v>13</v>
      </c>
      <c r="F373" s="39">
        <v>18</v>
      </c>
      <c r="G373" s="39">
        <v>1</v>
      </c>
      <c r="H373" s="39">
        <v>0</v>
      </c>
      <c r="I373" s="40">
        <v>3101267</v>
      </c>
      <c r="J373" s="41">
        <v>6.4958</v>
      </c>
      <c r="L373" s="39" t="s">
        <v>15</v>
      </c>
      <c r="M373" s="38">
        <f t="shared" si="5"/>
        <v>18</v>
      </c>
    </row>
    <row r="374" customHeight="1" spans="1:13">
      <c r="A374" s="39">
        <v>373</v>
      </c>
      <c r="B374" s="39">
        <v>0</v>
      </c>
      <c r="C374" s="39">
        <v>3</v>
      </c>
      <c r="D374" s="40" t="s">
        <v>554</v>
      </c>
      <c r="E374" s="40" t="s">
        <v>13</v>
      </c>
      <c r="F374" s="39">
        <v>19</v>
      </c>
      <c r="G374" s="39">
        <v>0</v>
      </c>
      <c r="H374" s="39">
        <v>0</v>
      </c>
      <c r="I374" s="40">
        <v>323951</v>
      </c>
      <c r="J374" s="41">
        <v>8.05</v>
      </c>
      <c r="L374" s="39" t="s">
        <v>15</v>
      </c>
      <c r="M374" s="38">
        <f t="shared" si="5"/>
        <v>19</v>
      </c>
    </row>
    <row r="375" customHeight="1" spans="1:13">
      <c r="A375" s="39">
        <v>374</v>
      </c>
      <c r="B375" s="39">
        <v>0</v>
      </c>
      <c r="C375" s="39">
        <v>1</v>
      </c>
      <c r="D375" s="40" t="s">
        <v>555</v>
      </c>
      <c r="E375" s="40" t="s">
        <v>13</v>
      </c>
      <c r="F375" s="39">
        <v>22</v>
      </c>
      <c r="G375" s="39">
        <v>0</v>
      </c>
      <c r="H375" s="39">
        <v>0</v>
      </c>
      <c r="I375" s="40" t="s">
        <v>409</v>
      </c>
      <c r="J375" s="41">
        <v>135.6333</v>
      </c>
      <c r="L375" s="39" t="s">
        <v>20</v>
      </c>
      <c r="M375" s="38">
        <f t="shared" si="5"/>
        <v>22</v>
      </c>
    </row>
    <row r="376" customHeight="1" spans="1:13">
      <c r="A376" s="39">
        <v>375</v>
      </c>
      <c r="B376" s="39">
        <v>0</v>
      </c>
      <c r="C376" s="39">
        <v>3</v>
      </c>
      <c r="D376" s="40" t="s">
        <v>556</v>
      </c>
      <c r="E376" s="40" t="s">
        <v>17</v>
      </c>
      <c r="F376" s="39">
        <v>3</v>
      </c>
      <c r="G376" s="39">
        <v>3</v>
      </c>
      <c r="H376" s="39">
        <v>1</v>
      </c>
      <c r="I376" s="40">
        <v>349909</v>
      </c>
      <c r="J376" s="41">
        <v>21.075</v>
      </c>
      <c r="L376" s="39" t="s">
        <v>15</v>
      </c>
      <c r="M376" s="38">
        <f t="shared" si="5"/>
        <v>3</v>
      </c>
    </row>
    <row r="377" customHeight="1" spans="1:13">
      <c r="A377" s="39">
        <v>376</v>
      </c>
      <c r="B377" s="39">
        <v>1</v>
      </c>
      <c r="C377" s="39">
        <v>1</v>
      </c>
      <c r="D377" s="40" t="s">
        <v>557</v>
      </c>
      <c r="E377" s="40" t="s">
        <v>17</v>
      </c>
      <c r="G377" s="39">
        <v>1</v>
      </c>
      <c r="H377" s="39">
        <v>0</v>
      </c>
      <c r="I377" s="40" t="s">
        <v>69</v>
      </c>
      <c r="J377" s="41">
        <v>82.1708</v>
      </c>
      <c r="L377" s="39" t="s">
        <v>20</v>
      </c>
      <c r="M377" s="38">
        <f t="shared" si="5"/>
        <v>29.6991176470588</v>
      </c>
    </row>
    <row r="378" customHeight="1" spans="1:13">
      <c r="A378" s="39">
        <v>377</v>
      </c>
      <c r="B378" s="39">
        <v>1</v>
      </c>
      <c r="C378" s="39">
        <v>3</v>
      </c>
      <c r="D378" s="40" t="s">
        <v>558</v>
      </c>
      <c r="E378" s="40" t="s">
        <v>17</v>
      </c>
      <c r="F378" s="39">
        <v>22</v>
      </c>
      <c r="G378" s="39">
        <v>0</v>
      </c>
      <c r="H378" s="39">
        <v>0</v>
      </c>
      <c r="I378" s="40" t="s">
        <v>559</v>
      </c>
      <c r="J378" s="41">
        <v>7.25</v>
      </c>
      <c r="L378" s="39" t="s">
        <v>15</v>
      </c>
      <c r="M378" s="38">
        <f t="shared" si="5"/>
        <v>22</v>
      </c>
    </row>
    <row r="379" customHeight="1" spans="1:13">
      <c r="A379" s="39">
        <v>378</v>
      </c>
      <c r="B379" s="39">
        <v>0</v>
      </c>
      <c r="C379" s="39">
        <v>1</v>
      </c>
      <c r="D379" s="40" t="s">
        <v>560</v>
      </c>
      <c r="E379" s="40" t="s">
        <v>13</v>
      </c>
      <c r="F379" s="39">
        <v>27</v>
      </c>
      <c r="G379" s="39">
        <v>0</v>
      </c>
      <c r="H379" s="39">
        <v>2</v>
      </c>
      <c r="I379" s="40">
        <v>113503</v>
      </c>
      <c r="J379" s="41">
        <v>211.5</v>
      </c>
      <c r="K379" s="42" t="s">
        <v>561</v>
      </c>
      <c r="L379" s="39" t="s">
        <v>20</v>
      </c>
      <c r="M379" s="38">
        <f t="shared" si="5"/>
        <v>27</v>
      </c>
    </row>
    <row r="380" customHeight="1" spans="1:13">
      <c r="A380" s="39">
        <v>379</v>
      </c>
      <c r="B380" s="39">
        <v>0</v>
      </c>
      <c r="C380" s="39">
        <v>3</v>
      </c>
      <c r="D380" s="40" t="s">
        <v>562</v>
      </c>
      <c r="E380" s="40" t="s">
        <v>13</v>
      </c>
      <c r="F380" s="39">
        <v>20</v>
      </c>
      <c r="G380" s="39">
        <v>0</v>
      </c>
      <c r="H380" s="39">
        <v>0</v>
      </c>
      <c r="I380" s="40">
        <v>2648</v>
      </c>
      <c r="J380" s="41">
        <v>4.0125</v>
      </c>
      <c r="L380" s="39" t="s">
        <v>20</v>
      </c>
      <c r="M380" s="38">
        <f t="shared" si="5"/>
        <v>20</v>
      </c>
    </row>
    <row r="381" customHeight="1" spans="1:13">
      <c r="A381" s="39">
        <v>380</v>
      </c>
      <c r="B381" s="39">
        <v>0</v>
      </c>
      <c r="C381" s="39">
        <v>3</v>
      </c>
      <c r="D381" s="40" t="s">
        <v>563</v>
      </c>
      <c r="E381" s="40" t="s">
        <v>13</v>
      </c>
      <c r="F381" s="39">
        <v>19</v>
      </c>
      <c r="G381" s="39">
        <v>0</v>
      </c>
      <c r="H381" s="39">
        <v>0</v>
      </c>
      <c r="I381" s="40">
        <v>347069</v>
      </c>
      <c r="J381" s="41">
        <v>7.775</v>
      </c>
      <c r="L381" s="39" t="s">
        <v>15</v>
      </c>
      <c r="M381" s="38">
        <f t="shared" si="5"/>
        <v>19</v>
      </c>
    </row>
    <row r="382" customHeight="1" spans="1:13">
      <c r="A382" s="39">
        <v>381</v>
      </c>
      <c r="B382" s="39">
        <v>1</v>
      </c>
      <c r="C382" s="39">
        <v>1</v>
      </c>
      <c r="D382" s="40" t="s">
        <v>564</v>
      </c>
      <c r="E382" s="40" t="s">
        <v>17</v>
      </c>
      <c r="F382" s="39">
        <v>42</v>
      </c>
      <c r="G382" s="39">
        <v>0</v>
      </c>
      <c r="H382" s="39">
        <v>0</v>
      </c>
      <c r="I382" s="40" t="s">
        <v>565</v>
      </c>
      <c r="J382" s="41">
        <v>227.525</v>
      </c>
      <c r="L382" s="39" t="s">
        <v>20</v>
      </c>
      <c r="M382" s="38">
        <f t="shared" si="5"/>
        <v>42</v>
      </c>
    </row>
    <row r="383" customHeight="1" spans="1:13">
      <c r="A383" s="39">
        <v>382</v>
      </c>
      <c r="B383" s="39">
        <v>1</v>
      </c>
      <c r="C383" s="39">
        <v>3</v>
      </c>
      <c r="D383" s="40" t="s">
        <v>566</v>
      </c>
      <c r="E383" s="40" t="s">
        <v>17</v>
      </c>
      <c r="F383" s="39">
        <v>1</v>
      </c>
      <c r="G383" s="39">
        <v>0</v>
      </c>
      <c r="H383" s="39">
        <v>2</v>
      </c>
      <c r="I383" s="40">
        <v>2653</v>
      </c>
      <c r="J383" s="41">
        <v>15.7417</v>
      </c>
      <c r="L383" s="39" t="s">
        <v>20</v>
      </c>
      <c r="M383" s="38">
        <f t="shared" si="5"/>
        <v>1</v>
      </c>
    </row>
    <row r="384" customHeight="1" spans="1:13">
      <c r="A384" s="39">
        <v>383</v>
      </c>
      <c r="B384" s="39">
        <v>0</v>
      </c>
      <c r="C384" s="39">
        <v>3</v>
      </c>
      <c r="D384" s="40" t="s">
        <v>567</v>
      </c>
      <c r="E384" s="40" t="s">
        <v>13</v>
      </c>
      <c r="F384" s="39">
        <v>32</v>
      </c>
      <c r="G384" s="39">
        <v>0</v>
      </c>
      <c r="H384" s="39">
        <v>0</v>
      </c>
      <c r="I384" s="40" t="s">
        <v>568</v>
      </c>
      <c r="J384" s="41">
        <v>7.925</v>
      </c>
      <c r="L384" s="39" t="s">
        <v>15</v>
      </c>
      <c r="M384" s="38">
        <f t="shared" si="5"/>
        <v>32</v>
      </c>
    </row>
    <row r="385" customHeight="1" spans="1:13">
      <c r="A385" s="39">
        <v>384</v>
      </c>
      <c r="B385" s="39">
        <v>1</v>
      </c>
      <c r="C385" s="39">
        <v>1</v>
      </c>
      <c r="D385" s="40" t="s">
        <v>569</v>
      </c>
      <c r="E385" s="40" t="s">
        <v>17</v>
      </c>
      <c r="F385" s="39">
        <v>35</v>
      </c>
      <c r="G385" s="39">
        <v>1</v>
      </c>
      <c r="H385" s="39">
        <v>0</v>
      </c>
      <c r="I385" s="40">
        <v>113789</v>
      </c>
      <c r="J385" s="41">
        <v>52</v>
      </c>
      <c r="L385" s="39" t="s">
        <v>15</v>
      </c>
      <c r="M385" s="38">
        <f t="shared" si="5"/>
        <v>35</v>
      </c>
    </row>
    <row r="386" customHeight="1" spans="1:13">
      <c r="A386" s="39">
        <v>385</v>
      </c>
      <c r="B386" s="39">
        <v>0</v>
      </c>
      <c r="C386" s="39">
        <v>3</v>
      </c>
      <c r="D386" s="40" t="s">
        <v>570</v>
      </c>
      <c r="E386" s="40" t="s">
        <v>13</v>
      </c>
      <c r="G386" s="39">
        <v>0</v>
      </c>
      <c r="H386" s="39">
        <v>0</v>
      </c>
      <c r="I386" s="40">
        <v>349227</v>
      </c>
      <c r="J386" s="41">
        <v>7.8958</v>
      </c>
      <c r="L386" s="39" t="s">
        <v>15</v>
      </c>
      <c r="M386" s="38">
        <f t="shared" ref="M386:M449" si="6">IF(F386="",AVERAGE($F$2:$F$892),F386)</f>
        <v>29.6991176470588</v>
      </c>
    </row>
    <row r="387" customHeight="1" spans="1:13">
      <c r="A387" s="39">
        <v>386</v>
      </c>
      <c r="B387" s="39">
        <v>0</v>
      </c>
      <c r="C387" s="39">
        <v>2</v>
      </c>
      <c r="D387" s="40" t="s">
        <v>571</v>
      </c>
      <c r="E387" s="40" t="s">
        <v>13</v>
      </c>
      <c r="F387" s="39">
        <v>18</v>
      </c>
      <c r="G387" s="39">
        <v>0</v>
      </c>
      <c r="H387" s="39">
        <v>0</v>
      </c>
      <c r="I387" s="40" t="s">
        <v>126</v>
      </c>
      <c r="J387" s="41">
        <v>73.5</v>
      </c>
      <c r="L387" s="39" t="s">
        <v>15</v>
      </c>
      <c r="M387" s="38">
        <f t="shared" si="6"/>
        <v>18</v>
      </c>
    </row>
    <row r="388" customHeight="1" spans="1:13">
      <c r="A388" s="39">
        <v>387</v>
      </c>
      <c r="B388" s="39">
        <v>0</v>
      </c>
      <c r="C388" s="39">
        <v>3</v>
      </c>
      <c r="D388" s="40" t="s">
        <v>572</v>
      </c>
      <c r="E388" s="40" t="s">
        <v>13</v>
      </c>
      <c r="F388" s="39">
        <v>1</v>
      </c>
      <c r="G388" s="39">
        <v>5</v>
      </c>
      <c r="H388" s="39">
        <v>2</v>
      </c>
      <c r="I388" s="40" t="s">
        <v>105</v>
      </c>
      <c r="J388" s="41">
        <v>46.9</v>
      </c>
      <c r="L388" s="39" t="s">
        <v>15</v>
      </c>
      <c r="M388" s="38">
        <f t="shared" si="6"/>
        <v>1</v>
      </c>
    </row>
    <row r="389" customHeight="1" spans="1:13">
      <c r="A389" s="39">
        <v>388</v>
      </c>
      <c r="B389" s="39">
        <v>1</v>
      </c>
      <c r="C389" s="39">
        <v>2</v>
      </c>
      <c r="D389" s="40" t="s">
        <v>573</v>
      </c>
      <c r="E389" s="40" t="s">
        <v>17</v>
      </c>
      <c r="F389" s="39">
        <v>36</v>
      </c>
      <c r="G389" s="39">
        <v>0</v>
      </c>
      <c r="H389" s="39">
        <v>0</v>
      </c>
      <c r="I389" s="40">
        <v>27849</v>
      </c>
      <c r="J389" s="41">
        <v>13</v>
      </c>
      <c r="L389" s="39" t="s">
        <v>15</v>
      </c>
      <c r="M389" s="38">
        <f t="shared" si="6"/>
        <v>36</v>
      </c>
    </row>
    <row r="390" customHeight="1" spans="1:13">
      <c r="A390" s="39">
        <v>389</v>
      </c>
      <c r="B390" s="39">
        <v>0</v>
      </c>
      <c r="C390" s="39">
        <v>3</v>
      </c>
      <c r="D390" s="40" t="s">
        <v>574</v>
      </c>
      <c r="E390" s="40" t="s">
        <v>13</v>
      </c>
      <c r="G390" s="39">
        <v>0</v>
      </c>
      <c r="H390" s="39">
        <v>0</v>
      </c>
      <c r="I390" s="40">
        <v>367655</v>
      </c>
      <c r="J390" s="41">
        <v>7.7292</v>
      </c>
      <c r="L390" s="39" t="s">
        <v>27</v>
      </c>
      <c r="M390" s="38">
        <f t="shared" si="6"/>
        <v>29.6991176470588</v>
      </c>
    </row>
    <row r="391" customHeight="1" spans="1:13">
      <c r="A391" s="39">
        <v>390</v>
      </c>
      <c r="B391" s="39">
        <v>1</v>
      </c>
      <c r="C391" s="39">
        <v>2</v>
      </c>
      <c r="D391" s="40" t="s">
        <v>575</v>
      </c>
      <c r="E391" s="40" t="s">
        <v>17</v>
      </c>
      <c r="F391" s="39">
        <v>17</v>
      </c>
      <c r="G391" s="39">
        <v>0</v>
      </c>
      <c r="H391" s="39">
        <v>0</v>
      </c>
      <c r="I391" s="40" t="s">
        <v>576</v>
      </c>
      <c r="J391" s="41">
        <v>12</v>
      </c>
      <c r="L391" s="39" t="s">
        <v>20</v>
      </c>
      <c r="M391" s="38">
        <f t="shared" si="6"/>
        <v>17</v>
      </c>
    </row>
    <row r="392" customHeight="1" spans="1:13">
      <c r="A392" s="39">
        <v>391</v>
      </c>
      <c r="B392" s="39">
        <v>1</v>
      </c>
      <c r="C392" s="39">
        <v>1</v>
      </c>
      <c r="D392" s="40" t="s">
        <v>577</v>
      </c>
      <c r="E392" s="40" t="s">
        <v>13</v>
      </c>
      <c r="F392" s="39">
        <v>36</v>
      </c>
      <c r="G392" s="39">
        <v>1</v>
      </c>
      <c r="H392" s="39">
        <v>2</v>
      </c>
      <c r="I392" s="40">
        <v>113760</v>
      </c>
      <c r="J392" s="41">
        <v>120</v>
      </c>
      <c r="K392" s="42" t="s">
        <v>578</v>
      </c>
      <c r="L392" s="39" t="s">
        <v>15</v>
      </c>
      <c r="M392" s="38">
        <f t="shared" si="6"/>
        <v>36</v>
      </c>
    </row>
    <row r="393" customHeight="1" spans="1:13">
      <c r="A393" s="39">
        <v>392</v>
      </c>
      <c r="B393" s="39">
        <v>1</v>
      </c>
      <c r="C393" s="39">
        <v>3</v>
      </c>
      <c r="D393" s="40" t="s">
        <v>579</v>
      </c>
      <c r="E393" s="40" t="s">
        <v>13</v>
      </c>
      <c r="F393" s="39">
        <v>21</v>
      </c>
      <c r="G393" s="39">
        <v>0</v>
      </c>
      <c r="H393" s="39">
        <v>0</v>
      </c>
      <c r="I393" s="40">
        <v>350034</v>
      </c>
      <c r="J393" s="41">
        <v>7.7958</v>
      </c>
      <c r="L393" s="39" t="s">
        <v>15</v>
      </c>
      <c r="M393" s="38">
        <f t="shared" si="6"/>
        <v>21</v>
      </c>
    </row>
    <row r="394" customHeight="1" spans="1:13">
      <c r="A394" s="39">
        <v>393</v>
      </c>
      <c r="B394" s="39">
        <v>0</v>
      </c>
      <c r="C394" s="39">
        <v>3</v>
      </c>
      <c r="D394" s="40" t="s">
        <v>580</v>
      </c>
      <c r="E394" s="40" t="s">
        <v>13</v>
      </c>
      <c r="F394" s="39">
        <v>28</v>
      </c>
      <c r="G394" s="39">
        <v>2</v>
      </c>
      <c r="H394" s="39">
        <v>0</v>
      </c>
      <c r="I394" s="40">
        <v>3101277</v>
      </c>
      <c r="J394" s="41">
        <v>7.925</v>
      </c>
      <c r="L394" s="39" t="s">
        <v>15</v>
      </c>
      <c r="M394" s="38">
        <f t="shared" si="6"/>
        <v>28</v>
      </c>
    </row>
    <row r="395" customHeight="1" spans="1:13">
      <c r="A395" s="39">
        <v>394</v>
      </c>
      <c r="B395" s="39">
        <v>1</v>
      </c>
      <c r="C395" s="39">
        <v>1</v>
      </c>
      <c r="D395" s="40" t="s">
        <v>581</v>
      </c>
      <c r="E395" s="40" t="s">
        <v>17</v>
      </c>
      <c r="F395" s="39">
        <v>23</v>
      </c>
      <c r="G395" s="39">
        <v>1</v>
      </c>
      <c r="H395" s="39">
        <v>0</v>
      </c>
      <c r="I395" s="40">
        <v>35273</v>
      </c>
      <c r="J395" s="41">
        <v>113.275</v>
      </c>
      <c r="K395" s="42" t="s">
        <v>328</v>
      </c>
      <c r="L395" s="39" t="s">
        <v>20</v>
      </c>
      <c r="M395" s="38">
        <f t="shared" si="6"/>
        <v>23</v>
      </c>
    </row>
    <row r="396" customHeight="1" spans="1:13">
      <c r="A396" s="39">
        <v>395</v>
      </c>
      <c r="B396" s="39">
        <v>1</v>
      </c>
      <c r="C396" s="39">
        <v>3</v>
      </c>
      <c r="D396" s="40" t="s">
        <v>582</v>
      </c>
      <c r="E396" s="40" t="s">
        <v>17</v>
      </c>
      <c r="F396" s="39">
        <v>24</v>
      </c>
      <c r="G396" s="39">
        <v>0</v>
      </c>
      <c r="H396" s="39">
        <v>2</v>
      </c>
      <c r="I396" s="40" t="s">
        <v>34</v>
      </c>
      <c r="J396" s="41">
        <v>16.7</v>
      </c>
      <c r="K396" s="42" t="s">
        <v>35</v>
      </c>
      <c r="L396" s="39" t="s">
        <v>15</v>
      </c>
      <c r="M396" s="38">
        <f t="shared" si="6"/>
        <v>24</v>
      </c>
    </row>
    <row r="397" customHeight="1" spans="1:13">
      <c r="A397" s="39">
        <v>396</v>
      </c>
      <c r="B397" s="39">
        <v>0</v>
      </c>
      <c r="C397" s="39">
        <v>3</v>
      </c>
      <c r="D397" s="40" t="s">
        <v>583</v>
      </c>
      <c r="E397" s="40" t="s">
        <v>13</v>
      </c>
      <c r="F397" s="39">
        <v>22</v>
      </c>
      <c r="G397" s="39">
        <v>0</v>
      </c>
      <c r="H397" s="39">
        <v>0</v>
      </c>
      <c r="I397" s="40">
        <v>350052</v>
      </c>
      <c r="J397" s="41">
        <v>7.7958</v>
      </c>
      <c r="L397" s="39" t="s">
        <v>15</v>
      </c>
      <c r="M397" s="38">
        <f t="shared" si="6"/>
        <v>22</v>
      </c>
    </row>
    <row r="398" customHeight="1" spans="1:13">
      <c r="A398" s="39">
        <v>397</v>
      </c>
      <c r="B398" s="39">
        <v>0</v>
      </c>
      <c r="C398" s="39">
        <v>3</v>
      </c>
      <c r="D398" s="40" t="s">
        <v>584</v>
      </c>
      <c r="E398" s="40" t="s">
        <v>17</v>
      </c>
      <c r="F398" s="39">
        <v>31</v>
      </c>
      <c r="G398" s="39">
        <v>0</v>
      </c>
      <c r="H398" s="39">
        <v>0</v>
      </c>
      <c r="I398" s="40">
        <v>350407</v>
      </c>
      <c r="J398" s="41">
        <v>7.8542</v>
      </c>
      <c r="L398" s="39" t="s">
        <v>15</v>
      </c>
      <c r="M398" s="38">
        <f t="shared" si="6"/>
        <v>31</v>
      </c>
    </row>
    <row r="399" customHeight="1" spans="1:13">
      <c r="A399" s="39">
        <v>398</v>
      </c>
      <c r="B399" s="39">
        <v>0</v>
      </c>
      <c r="C399" s="39">
        <v>2</v>
      </c>
      <c r="D399" s="40" t="s">
        <v>585</v>
      </c>
      <c r="E399" s="40" t="s">
        <v>13</v>
      </c>
      <c r="F399" s="39">
        <v>46</v>
      </c>
      <c r="G399" s="39">
        <v>0</v>
      </c>
      <c r="H399" s="39">
        <v>0</v>
      </c>
      <c r="I399" s="40">
        <v>28403</v>
      </c>
      <c r="J399" s="41">
        <v>26</v>
      </c>
      <c r="L399" s="39" t="s">
        <v>15</v>
      </c>
      <c r="M399" s="38">
        <f t="shared" si="6"/>
        <v>46</v>
      </c>
    </row>
    <row r="400" customHeight="1" spans="1:13">
      <c r="A400" s="39">
        <v>399</v>
      </c>
      <c r="B400" s="39">
        <v>0</v>
      </c>
      <c r="C400" s="39">
        <v>2</v>
      </c>
      <c r="D400" s="40" t="s">
        <v>586</v>
      </c>
      <c r="E400" s="40" t="s">
        <v>13</v>
      </c>
      <c r="F400" s="39">
        <v>23</v>
      </c>
      <c r="G400" s="39">
        <v>0</v>
      </c>
      <c r="H400" s="39">
        <v>0</v>
      </c>
      <c r="I400" s="40">
        <v>244278</v>
      </c>
      <c r="J400" s="41">
        <v>10.5</v>
      </c>
      <c r="L400" s="39" t="s">
        <v>15</v>
      </c>
      <c r="M400" s="38">
        <f t="shared" si="6"/>
        <v>23</v>
      </c>
    </row>
    <row r="401" customHeight="1" spans="1:13">
      <c r="A401" s="39">
        <v>400</v>
      </c>
      <c r="B401" s="39">
        <v>1</v>
      </c>
      <c r="C401" s="39">
        <v>2</v>
      </c>
      <c r="D401" s="40" t="s">
        <v>587</v>
      </c>
      <c r="E401" s="40" t="s">
        <v>17</v>
      </c>
      <c r="F401" s="39">
        <v>28</v>
      </c>
      <c r="G401" s="39">
        <v>0</v>
      </c>
      <c r="H401" s="39">
        <v>0</v>
      </c>
      <c r="I401" s="40">
        <v>240929</v>
      </c>
      <c r="J401" s="41">
        <v>12.65</v>
      </c>
      <c r="L401" s="39" t="s">
        <v>15</v>
      </c>
      <c r="M401" s="38">
        <f t="shared" si="6"/>
        <v>28</v>
      </c>
    </row>
    <row r="402" customHeight="1" spans="1:13">
      <c r="A402" s="39">
        <v>401</v>
      </c>
      <c r="B402" s="39">
        <v>1</v>
      </c>
      <c r="C402" s="39">
        <v>3</v>
      </c>
      <c r="D402" s="40" t="s">
        <v>588</v>
      </c>
      <c r="E402" s="40" t="s">
        <v>13</v>
      </c>
      <c r="F402" s="39">
        <v>39</v>
      </c>
      <c r="G402" s="39">
        <v>0</v>
      </c>
      <c r="H402" s="39">
        <v>0</v>
      </c>
      <c r="I402" s="40" t="s">
        <v>589</v>
      </c>
      <c r="J402" s="41">
        <v>7.925</v>
      </c>
      <c r="L402" s="39" t="s">
        <v>15</v>
      </c>
      <c r="M402" s="38">
        <f t="shared" si="6"/>
        <v>39</v>
      </c>
    </row>
    <row r="403" customHeight="1" spans="1:13">
      <c r="A403" s="39">
        <v>402</v>
      </c>
      <c r="B403" s="39">
        <v>0</v>
      </c>
      <c r="C403" s="39">
        <v>3</v>
      </c>
      <c r="D403" s="40" t="s">
        <v>590</v>
      </c>
      <c r="E403" s="40" t="s">
        <v>13</v>
      </c>
      <c r="F403" s="39">
        <v>26</v>
      </c>
      <c r="G403" s="39">
        <v>0</v>
      </c>
      <c r="H403" s="39">
        <v>0</v>
      </c>
      <c r="I403" s="40">
        <v>341826</v>
      </c>
      <c r="J403" s="41">
        <v>8.05</v>
      </c>
      <c r="L403" s="39" t="s">
        <v>15</v>
      </c>
      <c r="M403" s="38">
        <f t="shared" si="6"/>
        <v>26</v>
      </c>
    </row>
    <row r="404" customHeight="1" spans="1:13">
      <c r="A404" s="39">
        <v>403</v>
      </c>
      <c r="B404" s="39">
        <v>0</v>
      </c>
      <c r="C404" s="39">
        <v>3</v>
      </c>
      <c r="D404" s="40" t="s">
        <v>591</v>
      </c>
      <c r="E404" s="40" t="s">
        <v>17</v>
      </c>
      <c r="F404" s="39">
        <v>21</v>
      </c>
      <c r="G404" s="39">
        <v>1</v>
      </c>
      <c r="H404" s="39">
        <v>0</v>
      </c>
      <c r="I404" s="40">
        <v>4137</v>
      </c>
      <c r="J404" s="41">
        <v>9.825</v>
      </c>
      <c r="L404" s="39" t="s">
        <v>15</v>
      </c>
      <c r="M404" s="38">
        <f t="shared" si="6"/>
        <v>21</v>
      </c>
    </row>
    <row r="405" customHeight="1" spans="1:13">
      <c r="A405" s="39">
        <v>404</v>
      </c>
      <c r="B405" s="39">
        <v>0</v>
      </c>
      <c r="C405" s="39">
        <v>3</v>
      </c>
      <c r="D405" s="40" t="s">
        <v>592</v>
      </c>
      <c r="E405" s="40" t="s">
        <v>13</v>
      </c>
      <c r="F405" s="39">
        <v>28</v>
      </c>
      <c r="G405" s="39">
        <v>1</v>
      </c>
      <c r="H405" s="39">
        <v>0</v>
      </c>
      <c r="I405" s="40" t="s">
        <v>224</v>
      </c>
      <c r="J405" s="41">
        <v>15.85</v>
      </c>
      <c r="L405" s="39" t="s">
        <v>15</v>
      </c>
      <c r="M405" s="38">
        <f t="shared" si="6"/>
        <v>28</v>
      </c>
    </row>
    <row r="406" customHeight="1" spans="1:13">
      <c r="A406" s="39">
        <v>405</v>
      </c>
      <c r="B406" s="39">
        <v>0</v>
      </c>
      <c r="C406" s="39">
        <v>3</v>
      </c>
      <c r="D406" s="40" t="s">
        <v>593</v>
      </c>
      <c r="E406" s="40" t="s">
        <v>17</v>
      </c>
      <c r="F406" s="39">
        <v>20</v>
      </c>
      <c r="G406" s="39">
        <v>0</v>
      </c>
      <c r="H406" s="39">
        <v>0</v>
      </c>
      <c r="I406" s="40">
        <v>315096</v>
      </c>
      <c r="J406" s="41">
        <v>8.6625</v>
      </c>
      <c r="L406" s="39" t="s">
        <v>15</v>
      </c>
      <c r="M406" s="38">
        <f t="shared" si="6"/>
        <v>20</v>
      </c>
    </row>
    <row r="407" customHeight="1" spans="1:13">
      <c r="A407" s="39">
        <v>406</v>
      </c>
      <c r="B407" s="39">
        <v>0</v>
      </c>
      <c r="C407" s="39">
        <v>2</v>
      </c>
      <c r="D407" s="40" t="s">
        <v>594</v>
      </c>
      <c r="E407" s="40" t="s">
        <v>13</v>
      </c>
      <c r="F407" s="39">
        <v>34</v>
      </c>
      <c r="G407" s="39">
        <v>1</v>
      </c>
      <c r="H407" s="39">
        <v>0</v>
      </c>
      <c r="I407" s="40">
        <v>28664</v>
      </c>
      <c r="J407" s="41">
        <v>21</v>
      </c>
      <c r="L407" s="39" t="s">
        <v>15</v>
      </c>
      <c r="M407" s="38">
        <f t="shared" si="6"/>
        <v>34</v>
      </c>
    </row>
    <row r="408" customHeight="1" spans="1:13">
      <c r="A408" s="39">
        <v>407</v>
      </c>
      <c r="B408" s="39">
        <v>0</v>
      </c>
      <c r="C408" s="39">
        <v>3</v>
      </c>
      <c r="D408" s="40" t="s">
        <v>595</v>
      </c>
      <c r="E408" s="40" t="s">
        <v>13</v>
      </c>
      <c r="F408" s="39">
        <v>51</v>
      </c>
      <c r="G408" s="39">
        <v>0</v>
      </c>
      <c r="H408" s="39">
        <v>0</v>
      </c>
      <c r="I408" s="40">
        <v>347064</v>
      </c>
      <c r="J408" s="41">
        <v>7.75</v>
      </c>
      <c r="L408" s="39" t="s">
        <v>15</v>
      </c>
      <c r="M408" s="38">
        <f t="shared" si="6"/>
        <v>51</v>
      </c>
    </row>
    <row r="409" customHeight="1" spans="1:13">
      <c r="A409" s="39">
        <v>408</v>
      </c>
      <c r="B409" s="39">
        <v>1</v>
      </c>
      <c r="C409" s="39">
        <v>2</v>
      </c>
      <c r="D409" s="40" t="s">
        <v>596</v>
      </c>
      <c r="E409" s="40" t="s">
        <v>13</v>
      </c>
      <c r="F409" s="39">
        <v>3</v>
      </c>
      <c r="G409" s="39">
        <v>1</v>
      </c>
      <c r="H409" s="39">
        <v>1</v>
      </c>
      <c r="I409" s="40">
        <v>29106</v>
      </c>
      <c r="J409" s="41">
        <v>18.75</v>
      </c>
      <c r="L409" s="39" t="s">
        <v>15</v>
      </c>
      <c r="M409" s="38">
        <f t="shared" si="6"/>
        <v>3</v>
      </c>
    </row>
    <row r="410" customHeight="1" spans="1:13">
      <c r="A410" s="39">
        <v>409</v>
      </c>
      <c r="B410" s="39">
        <v>0</v>
      </c>
      <c r="C410" s="39">
        <v>3</v>
      </c>
      <c r="D410" s="40" t="s">
        <v>597</v>
      </c>
      <c r="E410" s="40" t="s">
        <v>13</v>
      </c>
      <c r="F410" s="39">
        <v>21</v>
      </c>
      <c r="G410" s="39">
        <v>0</v>
      </c>
      <c r="H410" s="39">
        <v>0</v>
      </c>
      <c r="I410" s="40">
        <v>312992</v>
      </c>
      <c r="J410" s="41">
        <v>7.775</v>
      </c>
      <c r="L410" s="39" t="s">
        <v>15</v>
      </c>
      <c r="M410" s="38">
        <f t="shared" si="6"/>
        <v>21</v>
      </c>
    </row>
    <row r="411" customHeight="1" spans="1:13">
      <c r="A411" s="39">
        <v>410</v>
      </c>
      <c r="B411" s="39">
        <v>0</v>
      </c>
      <c r="C411" s="39">
        <v>3</v>
      </c>
      <c r="D411" s="40" t="s">
        <v>598</v>
      </c>
      <c r="E411" s="40" t="s">
        <v>17</v>
      </c>
      <c r="G411" s="39">
        <v>3</v>
      </c>
      <c r="H411" s="39">
        <v>1</v>
      </c>
      <c r="I411" s="40">
        <v>4133</v>
      </c>
      <c r="J411" s="41">
        <v>25.4667</v>
      </c>
      <c r="L411" s="39" t="s">
        <v>15</v>
      </c>
      <c r="M411" s="38">
        <f t="shared" si="6"/>
        <v>29.6991176470588</v>
      </c>
    </row>
    <row r="412" customHeight="1" spans="1:13">
      <c r="A412" s="39">
        <v>411</v>
      </c>
      <c r="B412" s="39">
        <v>0</v>
      </c>
      <c r="C412" s="39">
        <v>3</v>
      </c>
      <c r="D412" s="40" t="s">
        <v>599</v>
      </c>
      <c r="E412" s="40" t="s">
        <v>13</v>
      </c>
      <c r="G412" s="39">
        <v>0</v>
      </c>
      <c r="H412" s="39">
        <v>0</v>
      </c>
      <c r="I412" s="40">
        <v>349222</v>
      </c>
      <c r="J412" s="41">
        <v>7.8958</v>
      </c>
      <c r="L412" s="39" t="s">
        <v>15</v>
      </c>
      <c r="M412" s="38">
        <f t="shared" si="6"/>
        <v>29.6991176470588</v>
      </c>
    </row>
    <row r="413" customHeight="1" spans="1:13">
      <c r="A413" s="39">
        <v>412</v>
      </c>
      <c r="B413" s="39">
        <v>0</v>
      </c>
      <c r="C413" s="39">
        <v>3</v>
      </c>
      <c r="D413" s="40" t="s">
        <v>600</v>
      </c>
      <c r="E413" s="40" t="s">
        <v>13</v>
      </c>
      <c r="G413" s="39">
        <v>0</v>
      </c>
      <c r="H413" s="39">
        <v>0</v>
      </c>
      <c r="I413" s="40">
        <v>394140</v>
      </c>
      <c r="J413" s="41">
        <v>6.8583</v>
      </c>
      <c r="L413" s="39" t="s">
        <v>27</v>
      </c>
      <c r="M413" s="38">
        <f t="shared" si="6"/>
        <v>29.6991176470588</v>
      </c>
    </row>
    <row r="414" customHeight="1" spans="1:13">
      <c r="A414" s="39">
        <v>413</v>
      </c>
      <c r="B414" s="39">
        <v>1</v>
      </c>
      <c r="C414" s="39">
        <v>1</v>
      </c>
      <c r="D414" s="40" t="s">
        <v>601</v>
      </c>
      <c r="E414" s="40" t="s">
        <v>17</v>
      </c>
      <c r="F414" s="39">
        <v>33</v>
      </c>
      <c r="G414" s="39">
        <v>1</v>
      </c>
      <c r="H414" s="39">
        <v>0</v>
      </c>
      <c r="I414" s="40">
        <v>19928</v>
      </c>
      <c r="J414" s="41">
        <v>90</v>
      </c>
      <c r="K414" s="42" t="s">
        <v>373</v>
      </c>
      <c r="L414" s="39" t="s">
        <v>27</v>
      </c>
      <c r="M414" s="38">
        <f t="shared" si="6"/>
        <v>33</v>
      </c>
    </row>
    <row r="415" customHeight="1" spans="1:13">
      <c r="A415" s="39">
        <v>414</v>
      </c>
      <c r="B415" s="39">
        <v>0</v>
      </c>
      <c r="C415" s="39">
        <v>2</v>
      </c>
      <c r="D415" s="40" t="s">
        <v>602</v>
      </c>
      <c r="E415" s="40" t="s">
        <v>13</v>
      </c>
      <c r="G415" s="39">
        <v>0</v>
      </c>
      <c r="H415" s="39">
        <v>0</v>
      </c>
      <c r="I415" s="40">
        <v>239853</v>
      </c>
      <c r="J415" s="41">
        <v>0</v>
      </c>
      <c r="L415" s="39" t="s">
        <v>15</v>
      </c>
      <c r="M415" s="38">
        <f t="shared" si="6"/>
        <v>29.6991176470588</v>
      </c>
    </row>
    <row r="416" customHeight="1" spans="1:13">
      <c r="A416" s="39">
        <v>415</v>
      </c>
      <c r="B416" s="39">
        <v>1</v>
      </c>
      <c r="C416" s="39">
        <v>3</v>
      </c>
      <c r="D416" s="40" t="s">
        <v>603</v>
      </c>
      <c r="E416" s="40" t="s">
        <v>13</v>
      </c>
      <c r="F416" s="39">
        <v>44</v>
      </c>
      <c r="G416" s="39">
        <v>0</v>
      </c>
      <c r="H416" s="39">
        <v>0</v>
      </c>
      <c r="I416" s="40" t="s">
        <v>604</v>
      </c>
      <c r="J416" s="41">
        <v>7.925</v>
      </c>
      <c r="L416" s="39" t="s">
        <v>15</v>
      </c>
      <c r="M416" s="38">
        <f t="shared" si="6"/>
        <v>44</v>
      </c>
    </row>
    <row r="417" customHeight="1" spans="1:13">
      <c r="A417" s="39">
        <v>416</v>
      </c>
      <c r="B417" s="39">
        <v>0</v>
      </c>
      <c r="C417" s="39">
        <v>3</v>
      </c>
      <c r="D417" s="40" t="s">
        <v>605</v>
      </c>
      <c r="E417" s="40" t="s">
        <v>17</v>
      </c>
      <c r="G417" s="39">
        <v>0</v>
      </c>
      <c r="H417" s="39">
        <v>0</v>
      </c>
      <c r="I417" s="40">
        <v>343095</v>
      </c>
      <c r="J417" s="41">
        <v>8.05</v>
      </c>
      <c r="L417" s="39" t="s">
        <v>15</v>
      </c>
      <c r="M417" s="38">
        <f t="shared" si="6"/>
        <v>29.6991176470588</v>
      </c>
    </row>
    <row r="418" customHeight="1" spans="1:13">
      <c r="A418" s="39">
        <v>417</v>
      </c>
      <c r="B418" s="39">
        <v>1</v>
      </c>
      <c r="C418" s="39">
        <v>2</v>
      </c>
      <c r="D418" s="40" t="s">
        <v>606</v>
      </c>
      <c r="E418" s="40" t="s">
        <v>17</v>
      </c>
      <c r="F418" s="39">
        <v>34</v>
      </c>
      <c r="G418" s="39">
        <v>1</v>
      </c>
      <c r="H418" s="39">
        <v>1</v>
      </c>
      <c r="I418" s="40">
        <v>28220</v>
      </c>
      <c r="J418" s="41">
        <v>32.5</v>
      </c>
      <c r="L418" s="39" t="s">
        <v>15</v>
      </c>
      <c r="M418" s="38">
        <f t="shared" si="6"/>
        <v>34</v>
      </c>
    </row>
    <row r="419" customHeight="1" spans="1:13">
      <c r="A419" s="39">
        <v>418</v>
      </c>
      <c r="B419" s="39">
        <v>1</v>
      </c>
      <c r="C419" s="39">
        <v>2</v>
      </c>
      <c r="D419" s="40" t="s">
        <v>607</v>
      </c>
      <c r="E419" s="40" t="s">
        <v>17</v>
      </c>
      <c r="F419" s="39">
        <v>18</v>
      </c>
      <c r="G419" s="39">
        <v>0</v>
      </c>
      <c r="H419" s="39">
        <v>2</v>
      </c>
      <c r="I419" s="40">
        <v>250652</v>
      </c>
      <c r="J419" s="41">
        <v>13</v>
      </c>
      <c r="L419" s="39" t="s">
        <v>15</v>
      </c>
      <c r="M419" s="38">
        <f t="shared" si="6"/>
        <v>18</v>
      </c>
    </row>
    <row r="420" customHeight="1" spans="1:13">
      <c r="A420" s="39">
        <v>419</v>
      </c>
      <c r="B420" s="39">
        <v>0</v>
      </c>
      <c r="C420" s="39">
        <v>2</v>
      </c>
      <c r="D420" s="40" t="s">
        <v>608</v>
      </c>
      <c r="E420" s="40" t="s">
        <v>13</v>
      </c>
      <c r="F420" s="39">
        <v>30</v>
      </c>
      <c r="G420" s="39">
        <v>0</v>
      </c>
      <c r="H420" s="39">
        <v>0</v>
      </c>
      <c r="I420" s="40">
        <v>28228</v>
      </c>
      <c r="J420" s="41">
        <v>13</v>
      </c>
      <c r="L420" s="39" t="s">
        <v>15</v>
      </c>
      <c r="M420" s="38">
        <f t="shared" si="6"/>
        <v>30</v>
      </c>
    </row>
    <row r="421" customHeight="1" spans="1:13">
      <c r="A421" s="39">
        <v>420</v>
      </c>
      <c r="B421" s="39">
        <v>0</v>
      </c>
      <c r="C421" s="39">
        <v>3</v>
      </c>
      <c r="D421" s="40" t="s">
        <v>609</v>
      </c>
      <c r="E421" s="40" t="s">
        <v>17</v>
      </c>
      <c r="F421" s="39">
        <v>10</v>
      </c>
      <c r="G421" s="39">
        <v>0</v>
      </c>
      <c r="H421" s="39">
        <v>2</v>
      </c>
      <c r="I421" s="40">
        <v>345773</v>
      </c>
      <c r="J421" s="41">
        <v>24.15</v>
      </c>
      <c r="L421" s="39" t="s">
        <v>15</v>
      </c>
      <c r="M421" s="38">
        <f t="shared" si="6"/>
        <v>10</v>
      </c>
    </row>
    <row r="422" customHeight="1" spans="1:13">
      <c r="A422" s="39">
        <v>421</v>
      </c>
      <c r="B422" s="39">
        <v>0</v>
      </c>
      <c r="C422" s="39">
        <v>3</v>
      </c>
      <c r="D422" s="40" t="s">
        <v>610</v>
      </c>
      <c r="E422" s="40" t="s">
        <v>13</v>
      </c>
      <c r="G422" s="39">
        <v>0</v>
      </c>
      <c r="H422" s="39">
        <v>0</v>
      </c>
      <c r="I422" s="40">
        <v>349254</v>
      </c>
      <c r="J422" s="41">
        <v>7.8958</v>
      </c>
      <c r="L422" s="39" t="s">
        <v>20</v>
      </c>
      <c r="M422" s="38">
        <f t="shared" si="6"/>
        <v>29.6991176470588</v>
      </c>
    </row>
    <row r="423" customHeight="1" spans="1:13">
      <c r="A423" s="39">
        <v>422</v>
      </c>
      <c r="B423" s="39">
        <v>0</v>
      </c>
      <c r="C423" s="39">
        <v>3</v>
      </c>
      <c r="D423" s="40" t="s">
        <v>611</v>
      </c>
      <c r="E423" s="40" t="s">
        <v>13</v>
      </c>
      <c r="F423" s="39">
        <v>21</v>
      </c>
      <c r="G423" s="39">
        <v>0</v>
      </c>
      <c r="H423" s="39">
        <v>0</v>
      </c>
      <c r="I423" s="40" t="s">
        <v>612</v>
      </c>
      <c r="J423" s="41">
        <v>7.7333</v>
      </c>
      <c r="L423" s="39" t="s">
        <v>27</v>
      </c>
      <c r="M423" s="38">
        <f t="shared" si="6"/>
        <v>21</v>
      </c>
    </row>
    <row r="424" customHeight="1" spans="1:13">
      <c r="A424" s="39">
        <v>423</v>
      </c>
      <c r="B424" s="39">
        <v>0</v>
      </c>
      <c r="C424" s="39">
        <v>3</v>
      </c>
      <c r="D424" s="40" t="s">
        <v>613</v>
      </c>
      <c r="E424" s="40" t="s">
        <v>13</v>
      </c>
      <c r="F424" s="39">
        <v>29</v>
      </c>
      <c r="G424" s="39">
        <v>0</v>
      </c>
      <c r="H424" s="39">
        <v>0</v>
      </c>
      <c r="I424" s="40">
        <v>315082</v>
      </c>
      <c r="J424" s="41">
        <v>7.875</v>
      </c>
      <c r="L424" s="39" t="s">
        <v>15</v>
      </c>
      <c r="M424" s="38">
        <f t="shared" si="6"/>
        <v>29</v>
      </c>
    </row>
    <row r="425" customHeight="1" spans="1:13">
      <c r="A425" s="39">
        <v>424</v>
      </c>
      <c r="B425" s="39">
        <v>0</v>
      </c>
      <c r="C425" s="39">
        <v>3</v>
      </c>
      <c r="D425" s="40" t="s">
        <v>614</v>
      </c>
      <c r="E425" s="40" t="s">
        <v>17</v>
      </c>
      <c r="F425" s="39">
        <v>28</v>
      </c>
      <c r="G425" s="39">
        <v>1</v>
      </c>
      <c r="H425" s="39">
        <v>1</v>
      </c>
      <c r="I425" s="40">
        <v>347080</v>
      </c>
      <c r="J425" s="41">
        <v>14.4</v>
      </c>
      <c r="L425" s="39" t="s">
        <v>15</v>
      </c>
      <c r="M425" s="38">
        <f t="shared" si="6"/>
        <v>28</v>
      </c>
    </row>
    <row r="426" customHeight="1" spans="1:13">
      <c r="A426" s="39">
        <v>425</v>
      </c>
      <c r="B426" s="39">
        <v>0</v>
      </c>
      <c r="C426" s="39">
        <v>3</v>
      </c>
      <c r="D426" s="40" t="s">
        <v>615</v>
      </c>
      <c r="E426" s="40" t="s">
        <v>13</v>
      </c>
      <c r="F426" s="39">
        <v>18</v>
      </c>
      <c r="G426" s="39">
        <v>1</v>
      </c>
      <c r="H426" s="39">
        <v>1</v>
      </c>
      <c r="I426" s="40">
        <v>370129</v>
      </c>
      <c r="J426" s="41">
        <v>20.2125</v>
      </c>
      <c r="L426" s="39" t="s">
        <v>15</v>
      </c>
      <c r="M426" s="38">
        <f t="shared" si="6"/>
        <v>18</v>
      </c>
    </row>
    <row r="427" customHeight="1" spans="1:13">
      <c r="A427" s="39">
        <v>426</v>
      </c>
      <c r="B427" s="39">
        <v>0</v>
      </c>
      <c r="C427" s="39">
        <v>3</v>
      </c>
      <c r="D427" s="40" t="s">
        <v>616</v>
      </c>
      <c r="E427" s="40" t="s">
        <v>13</v>
      </c>
      <c r="G427" s="39">
        <v>0</v>
      </c>
      <c r="H427" s="39">
        <v>0</v>
      </c>
      <c r="I427" s="40" t="s">
        <v>617</v>
      </c>
      <c r="J427" s="41">
        <v>7.25</v>
      </c>
      <c r="L427" s="39" t="s">
        <v>15</v>
      </c>
      <c r="M427" s="38">
        <f t="shared" si="6"/>
        <v>29.6991176470588</v>
      </c>
    </row>
    <row r="428" customHeight="1" spans="1:13">
      <c r="A428" s="39">
        <v>427</v>
      </c>
      <c r="B428" s="39">
        <v>1</v>
      </c>
      <c r="C428" s="39">
        <v>2</v>
      </c>
      <c r="D428" s="40" t="s">
        <v>618</v>
      </c>
      <c r="E428" s="40" t="s">
        <v>17</v>
      </c>
      <c r="F428" s="39">
        <v>28</v>
      </c>
      <c r="G428" s="39">
        <v>1</v>
      </c>
      <c r="H428" s="39">
        <v>0</v>
      </c>
      <c r="I428" s="40">
        <v>2003</v>
      </c>
      <c r="J428" s="41">
        <v>26</v>
      </c>
      <c r="L428" s="39" t="s">
        <v>15</v>
      </c>
      <c r="M428" s="38">
        <f t="shared" si="6"/>
        <v>28</v>
      </c>
    </row>
    <row r="429" customHeight="1" spans="1:13">
      <c r="A429" s="39">
        <v>428</v>
      </c>
      <c r="B429" s="39">
        <v>1</v>
      </c>
      <c r="C429" s="39">
        <v>2</v>
      </c>
      <c r="D429" s="40" t="s">
        <v>619</v>
      </c>
      <c r="E429" s="40" t="s">
        <v>17</v>
      </c>
      <c r="F429" s="39">
        <v>19</v>
      </c>
      <c r="G429" s="39">
        <v>0</v>
      </c>
      <c r="H429" s="39">
        <v>0</v>
      </c>
      <c r="I429" s="40">
        <v>250655</v>
      </c>
      <c r="J429" s="41">
        <v>26</v>
      </c>
      <c r="L429" s="39" t="s">
        <v>15</v>
      </c>
      <c r="M429" s="38">
        <f t="shared" si="6"/>
        <v>19</v>
      </c>
    </row>
    <row r="430" customHeight="1" spans="1:13">
      <c r="A430" s="39">
        <v>429</v>
      </c>
      <c r="B430" s="39">
        <v>0</v>
      </c>
      <c r="C430" s="39">
        <v>3</v>
      </c>
      <c r="D430" s="40" t="s">
        <v>620</v>
      </c>
      <c r="E430" s="40" t="s">
        <v>13</v>
      </c>
      <c r="G430" s="39">
        <v>0</v>
      </c>
      <c r="H430" s="39">
        <v>0</v>
      </c>
      <c r="I430" s="40">
        <v>364851</v>
      </c>
      <c r="J430" s="41">
        <v>7.75</v>
      </c>
      <c r="L430" s="39" t="s">
        <v>27</v>
      </c>
      <c r="M430" s="38">
        <f t="shared" si="6"/>
        <v>29.6991176470588</v>
      </c>
    </row>
    <row r="431" customHeight="1" spans="1:13">
      <c r="A431" s="39">
        <v>430</v>
      </c>
      <c r="B431" s="39">
        <v>1</v>
      </c>
      <c r="C431" s="39">
        <v>3</v>
      </c>
      <c r="D431" s="40" t="s">
        <v>621</v>
      </c>
      <c r="E431" s="40" t="s">
        <v>13</v>
      </c>
      <c r="F431" s="39">
        <v>32</v>
      </c>
      <c r="G431" s="39">
        <v>0</v>
      </c>
      <c r="H431" s="39">
        <v>0</v>
      </c>
      <c r="I431" s="40" t="s">
        <v>622</v>
      </c>
      <c r="J431" s="41">
        <v>8.05</v>
      </c>
      <c r="K431" s="42" t="s">
        <v>623</v>
      </c>
      <c r="L431" s="39" t="s">
        <v>15</v>
      </c>
      <c r="M431" s="38">
        <f t="shared" si="6"/>
        <v>32</v>
      </c>
    </row>
    <row r="432" customHeight="1" spans="1:13">
      <c r="A432" s="39">
        <v>431</v>
      </c>
      <c r="B432" s="39">
        <v>1</v>
      </c>
      <c r="C432" s="39">
        <v>1</v>
      </c>
      <c r="D432" s="40" t="s">
        <v>624</v>
      </c>
      <c r="E432" s="40" t="s">
        <v>13</v>
      </c>
      <c r="F432" s="39">
        <v>28</v>
      </c>
      <c r="G432" s="39">
        <v>0</v>
      </c>
      <c r="H432" s="39">
        <v>0</v>
      </c>
      <c r="I432" s="40">
        <v>110564</v>
      </c>
      <c r="J432" s="41">
        <v>26.55</v>
      </c>
      <c r="K432" s="42" t="s">
        <v>98</v>
      </c>
      <c r="L432" s="39" t="s">
        <v>15</v>
      </c>
      <c r="M432" s="38">
        <f t="shared" si="6"/>
        <v>28</v>
      </c>
    </row>
    <row r="433" customHeight="1" spans="1:13">
      <c r="A433" s="39">
        <v>432</v>
      </c>
      <c r="B433" s="39">
        <v>1</v>
      </c>
      <c r="C433" s="39">
        <v>3</v>
      </c>
      <c r="D433" s="40" t="s">
        <v>625</v>
      </c>
      <c r="E433" s="40" t="s">
        <v>17</v>
      </c>
      <c r="G433" s="39">
        <v>1</v>
      </c>
      <c r="H433" s="39">
        <v>0</v>
      </c>
      <c r="I433" s="40">
        <v>376564</v>
      </c>
      <c r="J433" s="41">
        <v>16.1</v>
      </c>
      <c r="L433" s="39" t="s">
        <v>15</v>
      </c>
      <c r="M433" s="38">
        <f t="shared" si="6"/>
        <v>29.6991176470588</v>
      </c>
    </row>
    <row r="434" customHeight="1" spans="1:13">
      <c r="A434" s="39">
        <v>433</v>
      </c>
      <c r="B434" s="39">
        <v>1</v>
      </c>
      <c r="C434" s="39">
        <v>2</v>
      </c>
      <c r="D434" s="40" t="s">
        <v>626</v>
      </c>
      <c r="E434" s="40" t="s">
        <v>17</v>
      </c>
      <c r="F434" s="39">
        <v>42</v>
      </c>
      <c r="G434" s="39">
        <v>1</v>
      </c>
      <c r="H434" s="39">
        <v>0</v>
      </c>
      <c r="I434" s="40" t="s">
        <v>627</v>
      </c>
      <c r="J434" s="41">
        <v>26</v>
      </c>
      <c r="L434" s="39" t="s">
        <v>15</v>
      </c>
      <c r="M434" s="38">
        <f t="shared" si="6"/>
        <v>42</v>
      </c>
    </row>
    <row r="435" customHeight="1" spans="1:13">
      <c r="A435" s="39">
        <v>434</v>
      </c>
      <c r="B435" s="39">
        <v>0</v>
      </c>
      <c r="C435" s="39">
        <v>3</v>
      </c>
      <c r="D435" s="40" t="s">
        <v>628</v>
      </c>
      <c r="E435" s="40" t="s">
        <v>13</v>
      </c>
      <c r="F435" s="39">
        <v>17</v>
      </c>
      <c r="G435" s="39">
        <v>0</v>
      </c>
      <c r="H435" s="39">
        <v>0</v>
      </c>
      <c r="I435" s="40" t="s">
        <v>629</v>
      </c>
      <c r="J435" s="41">
        <v>7.125</v>
      </c>
      <c r="L435" s="39" t="s">
        <v>15</v>
      </c>
      <c r="M435" s="38">
        <f t="shared" si="6"/>
        <v>17</v>
      </c>
    </row>
    <row r="436" customHeight="1" spans="1:13">
      <c r="A436" s="39">
        <v>435</v>
      </c>
      <c r="B436" s="39">
        <v>0</v>
      </c>
      <c r="C436" s="39">
        <v>1</v>
      </c>
      <c r="D436" s="40" t="s">
        <v>630</v>
      </c>
      <c r="E436" s="40" t="s">
        <v>13</v>
      </c>
      <c r="F436" s="39">
        <v>50</v>
      </c>
      <c r="G436" s="39">
        <v>1</v>
      </c>
      <c r="H436" s="39">
        <v>0</v>
      </c>
      <c r="I436" s="40">
        <v>13507</v>
      </c>
      <c r="J436" s="41">
        <v>55.9</v>
      </c>
      <c r="K436" s="42" t="s">
        <v>631</v>
      </c>
      <c r="L436" s="39" t="s">
        <v>15</v>
      </c>
      <c r="M436" s="38">
        <f t="shared" si="6"/>
        <v>50</v>
      </c>
    </row>
    <row r="437" customHeight="1" spans="1:13">
      <c r="A437" s="39">
        <v>436</v>
      </c>
      <c r="B437" s="39">
        <v>1</v>
      </c>
      <c r="C437" s="39">
        <v>1</v>
      </c>
      <c r="D437" s="40" t="s">
        <v>632</v>
      </c>
      <c r="E437" s="40" t="s">
        <v>17</v>
      </c>
      <c r="F437" s="39">
        <v>14</v>
      </c>
      <c r="G437" s="39">
        <v>1</v>
      </c>
      <c r="H437" s="39">
        <v>2</v>
      </c>
      <c r="I437" s="40">
        <v>113760</v>
      </c>
      <c r="J437" s="41">
        <v>120</v>
      </c>
      <c r="K437" s="42" t="s">
        <v>578</v>
      </c>
      <c r="L437" s="39" t="s">
        <v>15</v>
      </c>
      <c r="M437" s="38">
        <f t="shared" si="6"/>
        <v>14</v>
      </c>
    </row>
    <row r="438" customHeight="1" spans="1:13">
      <c r="A438" s="39">
        <v>437</v>
      </c>
      <c r="B438" s="39">
        <v>0</v>
      </c>
      <c r="C438" s="39">
        <v>3</v>
      </c>
      <c r="D438" s="40" t="s">
        <v>633</v>
      </c>
      <c r="E438" s="40" t="s">
        <v>17</v>
      </c>
      <c r="F438" s="39">
        <v>21</v>
      </c>
      <c r="G438" s="39">
        <v>2</v>
      </c>
      <c r="H438" s="39">
        <v>2</v>
      </c>
      <c r="I438" s="40" t="s">
        <v>143</v>
      </c>
      <c r="J438" s="41">
        <v>34.375</v>
      </c>
      <c r="L438" s="39" t="s">
        <v>15</v>
      </c>
      <c r="M438" s="38">
        <f t="shared" si="6"/>
        <v>21</v>
      </c>
    </row>
    <row r="439" customHeight="1" spans="1:13">
      <c r="A439" s="39">
        <v>438</v>
      </c>
      <c r="B439" s="39">
        <v>1</v>
      </c>
      <c r="C439" s="39">
        <v>2</v>
      </c>
      <c r="D439" s="40" t="s">
        <v>634</v>
      </c>
      <c r="E439" s="40" t="s">
        <v>17</v>
      </c>
      <c r="F439" s="39">
        <v>24</v>
      </c>
      <c r="G439" s="39">
        <v>2</v>
      </c>
      <c r="H439" s="39">
        <v>3</v>
      </c>
      <c r="I439" s="40">
        <v>29106</v>
      </c>
      <c r="J439" s="41">
        <v>18.75</v>
      </c>
      <c r="L439" s="39" t="s">
        <v>15</v>
      </c>
      <c r="M439" s="38">
        <f t="shared" si="6"/>
        <v>24</v>
      </c>
    </row>
    <row r="440" customHeight="1" spans="1:13">
      <c r="A440" s="39">
        <v>439</v>
      </c>
      <c r="B440" s="39">
        <v>0</v>
      </c>
      <c r="C440" s="39">
        <v>1</v>
      </c>
      <c r="D440" s="40" t="s">
        <v>635</v>
      </c>
      <c r="E440" s="40" t="s">
        <v>13</v>
      </c>
      <c r="F440" s="39">
        <v>64</v>
      </c>
      <c r="G440" s="39">
        <v>1</v>
      </c>
      <c r="H440" s="39">
        <v>4</v>
      </c>
      <c r="I440" s="40">
        <v>19950</v>
      </c>
      <c r="J440" s="41">
        <v>263</v>
      </c>
      <c r="K440" s="42" t="s">
        <v>57</v>
      </c>
      <c r="L440" s="39" t="s">
        <v>15</v>
      </c>
      <c r="M440" s="38">
        <f t="shared" si="6"/>
        <v>64</v>
      </c>
    </row>
    <row r="441" customHeight="1" spans="1:13">
      <c r="A441" s="39">
        <v>440</v>
      </c>
      <c r="B441" s="39">
        <v>0</v>
      </c>
      <c r="C441" s="39">
        <v>2</v>
      </c>
      <c r="D441" s="40" t="s">
        <v>636</v>
      </c>
      <c r="E441" s="40" t="s">
        <v>13</v>
      </c>
      <c r="F441" s="39">
        <v>31</v>
      </c>
      <c r="G441" s="39">
        <v>0</v>
      </c>
      <c r="H441" s="39">
        <v>0</v>
      </c>
      <c r="I441" s="40" t="s">
        <v>637</v>
      </c>
      <c r="J441" s="41">
        <v>10.5</v>
      </c>
      <c r="L441" s="39" t="s">
        <v>15</v>
      </c>
      <c r="M441" s="38">
        <f t="shared" si="6"/>
        <v>31</v>
      </c>
    </row>
    <row r="442" customHeight="1" spans="1:13">
      <c r="A442" s="39">
        <v>441</v>
      </c>
      <c r="B442" s="39">
        <v>1</v>
      </c>
      <c r="C442" s="39">
        <v>2</v>
      </c>
      <c r="D442" s="40" t="s">
        <v>638</v>
      </c>
      <c r="E442" s="40" t="s">
        <v>17</v>
      </c>
      <c r="F442" s="39">
        <v>45</v>
      </c>
      <c r="G442" s="39">
        <v>1</v>
      </c>
      <c r="H442" s="39">
        <v>1</v>
      </c>
      <c r="I442" s="40" t="s">
        <v>477</v>
      </c>
      <c r="J442" s="41">
        <v>26.25</v>
      </c>
      <c r="L442" s="39" t="s">
        <v>15</v>
      </c>
      <c r="M442" s="38">
        <f t="shared" si="6"/>
        <v>45</v>
      </c>
    </row>
    <row r="443" customHeight="1" spans="1:13">
      <c r="A443" s="39">
        <v>442</v>
      </c>
      <c r="B443" s="39">
        <v>0</v>
      </c>
      <c r="C443" s="39">
        <v>3</v>
      </c>
      <c r="D443" s="40" t="s">
        <v>639</v>
      </c>
      <c r="E443" s="40" t="s">
        <v>13</v>
      </c>
      <c r="F443" s="39">
        <v>20</v>
      </c>
      <c r="G443" s="39">
        <v>0</v>
      </c>
      <c r="H443" s="39">
        <v>0</v>
      </c>
      <c r="I443" s="40">
        <v>345769</v>
      </c>
      <c r="J443" s="41">
        <v>9.5</v>
      </c>
      <c r="L443" s="39" t="s">
        <v>15</v>
      </c>
      <c r="M443" s="38">
        <f t="shared" si="6"/>
        <v>20</v>
      </c>
    </row>
    <row r="444" customHeight="1" spans="1:13">
      <c r="A444" s="39">
        <v>443</v>
      </c>
      <c r="B444" s="39">
        <v>0</v>
      </c>
      <c r="C444" s="39">
        <v>3</v>
      </c>
      <c r="D444" s="40" t="s">
        <v>640</v>
      </c>
      <c r="E444" s="40" t="s">
        <v>13</v>
      </c>
      <c r="F444" s="39">
        <v>25</v>
      </c>
      <c r="G444" s="39">
        <v>1</v>
      </c>
      <c r="H444" s="39">
        <v>0</v>
      </c>
      <c r="I444" s="40">
        <v>347076</v>
      </c>
      <c r="J444" s="41">
        <v>7.775</v>
      </c>
      <c r="L444" s="39" t="s">
        <v>15</v>
      </c>
      <c r="M444" s="38">
        <f t="shared" si="6"/>
        <v>25</v>
      </c>
    </row>
    <row r="445" customHeight="1" spans="1:13">
      <c r="A445" s="39">
        <v>444</v>
      </c>
      <c r="B445" s="39">
        <v>1</v>
      </c>
      <c r="C445" s="39">
        <v>2</v>
      </c>
      <c r="D445" s="40" t="s">
        <v>641</v>
      </c>
      <c r="E445" s="40" t="s">
        <v>17</v>
      </c>
      <c r="F445" s="39">
        <v>28</v>
      </c>
      <c r="G445" s="39">
        <v>0</v>
      </c>
      <c r="H445" s="39">
        <v>0</v>
      </c>
      <c r="I445" s="40">
        <v>230434</v>
      </c>
      <c r="J445" s="41">
        <v>13</v>
      </c>
      <c r="L445" s="39" t="s">
        <v>15</v>
      </c>
      <c r="M445" s="38">
        <f t="shared" si="6"/>
        <v>28</v>
      </c>
    </row>
    <row r="446" customHeight="1" spans="1:13">
      <c r="A446" s="39">
        <v>445</v>
      </c>
      <c r="B446" s="39">
        <v>1</v>
      </c>
      <c r="C446" s="39">
        <v>3</v>
      </c>
      <c r="D446" s="40" t="s">
        <v>642</v>
      </c>
      <c r="E446" s="40" t="s">
        <v>13</v>
      </c>
      <c r="G446" s="39">
        <v>0</v>
      </c>
      <c r="H446" s="39">
        <v>0</v>
      </c>
      <c r="I446" s="40">
        <v>65306</v>
      </c>
      <c r="J446" s="41">
        <v>8.1125</v>
      </c>
      <c r="L446" s="39" t="s">
        <v>15</v>
      </c>
      <c r="M446" s="38">
        <f t="shared" si="6"/>
        <v>29.6991176470588</v>
      </c>
    </row>
    <row r="447" customHeight="1" spans="1:13">
      <c r="A447" s="39">
        <v>446</v>
      </c>
      <c r="B447" s="39">
        <v>1</v>
      </c>
      <c r="C447" s="39">
        <v>1</v>
      </c>
      <c r="D447" s="40" t="s">
        <v>643</v>
      </c>
      <c r="E447" s="40" t="s">
        <v>13</v>
      </c>
      <c r="F447" s="39">
        <v>4</v>
      </c>
      <c r="G447" s="39">
        <v>0</v>
      </c>
      <c r="H447" s="39">
        <v>2</v>
      </c>
      <c r="I447" s="40">
        <v>33638</v>
      </c>
      <c r="J447" s="41">
        <v>81.8583</v>
      </c>
      <c r="K447" s="42" t="s">
        <v>644</v>
      </c>
      <c r="L447" s="39" t="s">
        <v>15</v>
      </c>
      <c r="M447" s="38">
        <f t="shared" si="6"/>
        <v>4</v>
      </c>
    </row>
    <row r="448" customHeight="1" spans="1:13">
      <c r="A448" s="39">
        <v>447</v>
      </c>
      <c r="B448" s="39">
        <v>1</v>
      </c>
      <c r="C448" s="39">
        <v>2</v>
      </c>
      <c r="D448" s="40" t="s">
        <v>645</v>
      </c>
      <c r="E448" s="40" t="s">
        <v>17</v>
      </c>
      <c r="F448" s="39">
        <v>13</v>
      </c>
      <c r="G448" s="39">
        <v>0</v>
      </c>
      <c r="H448" s="39">
        <v>1</v>
      </c>
      <c r="I448" s="40">
        <v>250644</v>
      </c>
      <c r="J448" s="41">
        <v>19.5</v>
      </c>
      <c r="L448" s="39" t="s">
        <v>15</v>
      </c>
      <c r="M448" s="38">
        <f t="shared" si="6"/>
        <v>13</v>
      </c>
    </row>
    <row r="449" customHeight="1" spans="1:13">
      <c r="A449" s="39">
        <v>448</v>
      </c>
      <c r="B449" s="39">
        <v>1</v>
      </c>
      <c r="C449" s="39">
        <v>1</v>
      </c>
      <c r="D449" s="40" t="s">
        <v>646</v>
      </c>
      <c r="E449" s="40" t="s">
        <v>13</v>
      </c>
      <c r="F449" s="39">
        <v>34</v>
      </c>
      <c r="G449" s="39">
        <v>0</v>
      </c>
      <c r="H449" s="39">
        <v>0</v>
      </c>
      <c r="I449" s="40">
        <v>113794</v>
      </c>
      <c r="J449" s="41">
        <v>26.55</v>
      </c>
      <c r="L449" s="39" t="s">
        <v>15</v>
      </c>
      <c r="M449" s="38">
        <f t="shared" si="6"/>
        <v>34</v>
      </c>
    </row>
    <row r="450" customHeight="1" spans="1:13">
      <c r="A450" s="39">
        <v>449</v>
      </c>
      <c r="B450" s="39">
        <v>1</v>
      </c>
      <c r="C450" s="39">
        <v>3</v>
      </c>
      <c r="D450" s="40" t="s">
        <v>647</v>
      </c>
      <c r="E450" s="40" t="s">
        <v>17</v>
      </c>
      <c r="F450" s="39">
        <v>5</v>
      </c>
      <c r="G450" s="39">
        <v>2</v>
      </c>
      <c r="H450" s="39">
        <v>1</v>
      </c>
      <c r="I450" s="40">
        <v>2666</v>
      </c>
      <c r="J450" s="41">
        <v>19.2583</v>
      </c>
      <c r="L450" s="39" t="s">
        <v>20</v>
      </c>
      <c r="M450" s="38">
        <f t="shared" ref="M450:M513" si="7">IF(F450="",AVERAGE($F$2:$F$892),F450)</f>
        <v>5</v>
      </c>
    </row>
    <row r="451" customHeight="1" spans="1:13">
      <c r="A451" s="39">
        <v>450</v>
      </c>
      <c r="B451" s="39">
        <v>1</v>
      </c>
      <c r="C451" s="39">
        <v>1</v>
      </c>
      <c r="D451" s="40" t="s">
        <v>648</v>
      </c>
      <c r="E451" s="40" t="s">
        <v>13</v>
      </c>
      <c r="F451" s="39">
        <v>52</v>
      </c>
      <c r="G451" s="39">
        <v>0</v>
      </c>
      <c r="H451" s="39">
        <v>0</v>
      </c>
      <c r="I451" s="40">
        <v>113786</v>
      </c>
      <c r="J451" s="41">
        <v>30.5</v>
      </c>
      <c r="K451" s="42" t="s">
        <v>649</v>
      </c>
      <c r="L451" s="39" t="s">
        <v>15</v>
      </c>
      <c r="M451" s="38">
        <f t="shared" si="7"/>
        <v>52</v>
      </c>
    </row>
    <row r="452" customHeight="1" spans="1:13">
      <c r="A452" s="39">
        <v>451</v>
      </c>
      <c r="B452" s="39">
        <v>0</v>
      </c>
      <c r="C452" s="39">
        <v>2</v>
      </c>
      <c r="D452" s="40" t="s">
        <v>650</v>
      </c>
      <c r="E452" s="40" t="s">
        <v>13</v>
      </c>
      <c r="F452" s="39">
        <v>36</v>
      </c>
      <c r="G452" s="39">
        <v>1</v>
      </c>
      <c r="H452" s="39">
        <v>2</v>
      </c>
      <c r="I452" s="40" t="s">
        <v>103</v>
      </c>
      <c r="J452" s="41">
        <v>27.75</v>
      </c>
      <c r="L452" s="39" t="s">
        <v>15</v>
      </c>
      <c r="M452" s="38">
        <f t="shared" si="7"/>
        <v>36</v>
      </c>
    </row>
    <row r="453" customHeight="1" spans="1:13">
      <c r="A453" s="39">
        <v>452</v>
      </c>
      <c r="B453" s="39">
        <v>0</v>
      </c>
      <c r="C453" s="39">
        <v>3</v>
      </c>
      <c r="D453" s="40" t="s">
        <v>651</v>
      </c>
      <c r="E453" s="40" t="s">
        <v>13</v>
      </c>
      <c r="G453" s="39">
        <v>1</v>
      </c>
      <c r="H453" s="39">
        <v>0</v>
      </c>
      <c r="I453" s="40">
        <v>65303</v>
      </c>
      <c r="J453" s="41">
        <v>19.9667</v>
      </c>
      <c r="L453" s="39" t="s">
        <v>15</v>
      </c>
      <c r="M453" s="38">
        <f t="shared" si="7"/>
        <v>29.6991176470588</v>
      </c>
    </row>
    <row r="454" customHeight="1" spans="1:13">
      <c r="A454" s="39">
        <v>453</v>
      </c>
      <c r="B454" s="39">
        <v>0</v>
      </c>
      <c r="C454" s="39">
        <v>1</v>
      </c>
      <c r="D454" s="40" t="s">
        <v>652</v>
      </c>
      <c r="E454" s="40" t="s">
        <v>13</v>
      </c>
      <c r="F454" s="39">
        <v>30</v>
      </c>
      <c r="G454" s="39">
        <v>0</v>
      </c>
      <c r="H454" s="39">
        <v>0</v>
      </c>
      <c r="I454" s="40">
        <v>113051</v>
      </c>
      <c r="J454" s="41">
        <v>27.75</v>
      </c>
      <c r="K454" s="42" t="s">
        <v>653</v>
      </c>
      <c r="L454" s="39" t="s">
        <v>20</v>
      </c>
      <c r="M454" s="38">
        <f t="shared" si="7"/>
        <v>30</v>
      </c>
    </row>
    <row r="455" customHeight="1" spans="1:13">
      <c r="A455" s="39">
        <v>454</v>
      </c>
      <c r="B455" s="39">
        <v>1</v>
      </c>
      <c r="C455" s="39">
        <v>1</v>
      </c>
      <c r="D455" s="40" t="s">
        <v>654</v>
      </c>
      <c r="E455" s="40" t="s">
        <v>13</v>
      </c>
      <c r="F455" s="39">
        <v>49</v>
      </c>
      <c r="G455" s="39">
        <v>1</v>
      </c>
      <c r="H455" s="39">
        <v>0</v>
      </c>
      <c r="I455" s="40">
        <v>17453</v>
      </c>
      <c r="J455" s="41">
        <v>89.1042</v>
      </c>
      <c r="K455" s="42" t="s">
        <v>655</v>
      </c>
      <c r="L455" s="39" t="s">
        <v>20</v>
      </c>
      <c r="M455" s="38">
        <f t="shared" si="7"/>
        <v>49</v>
      </c>
    </row>
    <row r="456" customHeight="1" spans="1:13">
      <c r="A456" s="39">
        <v>455</v>
      </c>
      <c r="B456" s="39">
        <v>0</v>
      </c>
      <c r="C456" s="39">
        <v>3</v>
      </c>
      <c r="D456" s="40" t="s">
        <v>656</v>
      </c>
      <c r="E456" s="40" t="s">
        <v>13</v>
      </c>
      <c r="G456" s="39">
        <v>0</v>
      </c>
      <c r="H456" s="39">
        <v>0</v>
      </c>
      <c r="I456" s="40" t="s">
        <v>657</v>
      </c>
      <c r="J456" s="41">
        <v>8.05</v>
      </c>
      <c r="L456" s="39" t="s">
        <v>15</v>
      </c>
      <c r="M456" s="38">
        <f t="shared" si="7"/>
        <v>29.6991176470588</v>
      </c>
    </row>
    <row r="457" customHeight="1" spans="1:13">
      <c r="A457" s="39">
        <v>456</v>
      </c>
      <c r="B457" s="39">
        <v>1</v>
      </c>
      <c r="C457" s="39">
        <v>3</v>
      </c>
      <c r="D457" s="40" t="s">
        <v>658</v>
      </c>
      <c r="E457" s="40" t="s">
        <v>13</v>
      </c>
      <c r="F457" s="39">
        <v>29</v>
      </c>
      <c r="G457" s="39">
        <v>0</v>
      </c>
      <c r="H457" s="39">
        <v>0</v>
      </c>
      <c r="I457" s="40">
        <v>349240</v>
      </c>
      <c r="J457" s="41">
        <v>7.8958</v>
      </c>
      <c r="L457" s="39" t="s">
        <v>20</v>
      </c>
      <c r="M457" s="38">
        <f t="shared" si="7"/>
        <v>29</v>
      </c>
    </row>
    <row r="458" customHeight="1" spans="1:13">
      <c r="A458" s="39">
        <v>457</v>
      </c>
      <c r="B458" s="39">
        <v>0</v>
      </c>
      <c r="C458" s="39">
        <v>1</v>
      </c>
      <c r="D458" s="40" t="s">
        <v>659</v>
      </c>
      <c r="E458" s="40" t="s">
        <v>13</v>
      </c>
      <c r="F458" s="39">
        <v>65</v>
      </c>
      <c r="G458" s="39">
        <v>0</v>
      </c>
      <c r="H458" s="39">
        <v>0</v>
      </c>
      <c r="I458" s="40">
        <v>13509</v>
      </c>
      <c r="J458" s="41">
        <v>26.55</v>
      </c>
      <c r="K458" s="42" t="s">
        <v>660</v>
      </c>
      <c r="L458" s="39" t="s">
        <v>15</v>
      </c>
      <c r="M458" s="38">
        <f t="shared" si="7"/>
        <v>65</v>
      </c>
    </row>
    <row r="459" customHeight="1" spans="1:13">
      <c r="A459" s="39">
        <v>458</v>
      </c>
      <c r="B459" s="39">
        <v>1</v>
      </c>
      <c r="C459" s="39">
        <v>1</v>
      </c>
      <c r="D459" s="40" t="s">
        <v>661</v>
      </c>
      <c r="E459" s="40" t="s">
        <v>17</v>
      </c>
      <c r="G459" s="39">
        <v>1</v>
      </c>
      <c r="H459" s="39">
        <v>0</v>
      </c>
      <c r="I459" s="40">
        <v>17464</v>
      </c>
      <c r="J459" s="41">
        <v>51.8625</v>
      </c>
      <c r="K459" s="42" t="s">
        <v>662</v>
      </c>
      <c r="L459" s="39" t="s">
        <v>15</v>
      </c>
      <c r="M459" s="38">
        <f t="shared" si="7"/>
        <v>29.6991176470588</v>
      </c>
    </row>
    <row r="460" customHeight="1" spans="1:13">
      <c r="A460" s="39">
        <v>459</v>
      </c>
      <c r="B460" s="39">
        <v>1</v>
      </c>
      <c r="C460" s="39">
        <v>2</v>
      </c>
      <c r="D460" s="40" t="s">
        <v>663</v>
      </c>
      <c r="E460" s="40" t="s">
        <v>17</v>
      </c>
      <c r="F460" s="39">
        <v>50</v>
      </c>
      <c r="G460" s="39">
        <v>0</v>
      </c>
      <c r="H460" s="39">
        <v>0</v>
      </c>
      <c r="I460" s="40" t="s">
        <v>664</v>
      </c>
      <c r="J460" s="41">
        <v>10.5</v>
      </c>
      <c r="L460" s="39" t="s">
        <v>15</v>
      </c>
      <c r="M460" s="38">
        <f t="shared" si="7"/>
        <v>50</v>
      </c>
    </row>
    <row r="461" customHeight="1" spans="1:13">
      <c r="A461" s="39">
        <v>460</v>
      </c>
      <c r="B461" s="39">
        <v>0</v>
      </c>
      <c r="C461" s="39">
        <v>3</v>
      </c>
      <c r="D461" s="40" t="s">
        <v>665</v>
      </c>
      <c r="E461" s="40" t="s">
        <v>13</v>
      </c>
      <c r="G461" s="39">
        <v>0</v>
      </c>
      <c r="H461" s="39">
        <v>0</v>
      </c>
      <c r="I461" s="40">
        <v>371060</v>
      </c>
      <c r="J461" s="41">
        <v>7.75</v>
      </c>
      <c r="L461" s="39" t="s">
        <v>27</v>
      </c>
      <c r="M461" s="38">
        <f t="shared" si="7"/>
        <v>29.6991176470588</v>
      </c>
    </row>
    <row r="462" customHeight="1" spans="1:13">
      <c r="A462" s="39">
        <v>461</v>
      </c>
      <c r="B462" s="39">
        <v>1</v>
      </c>
      <c r="C462" s="39">
        <v>1</v>
      </c>
      <c r="D462" s="40" t="s">
        <v>666</v>
      </c>
      <c r="E462" s="40" t="s">
        <v>13</v>
      </c>
      <c r="F462" s="39">
        <v>48</v>
      </c>
      <c r="G462" s="39">
        <v>0</v>
      </c>
      <c r="H462" s="39">
        <v>0</v>
      </c>
      <c r="I462" s="40">
        <v>19952</v>
      </c>
      <c r="J462" s="41">
        <v>26.55</v>
      </c>
      <c r="K462" s="42" t="s">
        <v>667</v>
      </c>
      <c r="L462" s="39" t="s">
        <v>15</v>
      </c>
      <c r="M462" s="38">
        <f t="shared" si="7"/>
        <v>48</v>
      </c>
    </row>
    <row r="463" customHeight="1" spans="1:13">
      <c r="A463" s="39">
        <v>462</v>
      </c>
      <c r="B463" s="39">
        <v>0</v>
      </c>
      <c r="C463" s="39">
        <v>3</v>
      </c>
      <c r="D463" s="40" t="s">
        <v>668</v>
      </c>
      <c r="E463" s="40" t="s">
        <v>13</v>
      </c>
      <c r="F463" s="39">
        <v>34</v>
      </c>
      <c r="G463" s="39">
        <v>0</v>
      </c>
      <c r="H463" s="39">
        <v>0</v>
      </c>
      <c r="I463" s="40">
        <v>364506</v>
      </c>
      <c r="J463" s="41">
        <v>8.05</v>
      </c>
      <c r="L463" s="39" t="s">
        <v>15</v>
      </c>
      <c r="M463" s="38">
        <f t="shared" si="7"/>
        <v>34</v>
      </c>
    </row>
    <row r="464" customHeight="1" spans="1:13">
      <c r="A464" s="39">
        <v>463</v>
      </c>
      <c r="B464" s="39">
        <v>0</v>
      </c>
      <c r="C464" s="39">
        <v>1</v>
      </c>
      <c r="D464" s="40" t="s">
        <v>669</v>
      </c>
      <c r="E464" s="40" t="s">
        <v>13</v>
      </c>
      <c r="F464" s="39">
        <v>47</v>
      </c>
      <c r="G464" s="39">
        <v>0</v>
      </c>
      <c r="H464" s="39">
        <v>0</v>
      </c>
      <c r="I464" s="40">
        <v>111320</v>
      </c>
      <c r="J464" s="41">
        <v>38.5</v>
      </c>
      <c r="K464" s="42" t="s">
        <v>670</v>
      </c>
      <c r="L464" s="39" t="s">
        <v>15</v>
      </c>
      <c r="M464" s="38">
        <f t="shared" si="7"/>
        <v>47</v>
      </c>
    </row>
    <row r="465" customHeight="1" spans="1:13">
      <c r="A465" s="39">
        <v>464</v>
      </c>
      <c r="B465" s="39">
        <v>0</v>
      </c>
      <c r="C465" s="39">
        <v>2</v>
      </c>
      <c r="D465" s="40" t="s">
        <v>671</v>
      </c>
      <c r="E465" s="40" t="s">
        <v>13</v>
      </c>
      <c r="F465" s="39">
        <v>48</v>
      </c>
      <c r="G465" s="39">
        <v>0</v>
      </c>
      <c r="H465" s="39">
        <v>0</v>
      </c>
      <c r="I465" s="40">
        <v>234360</v>
      </c>
      <c r="J465" s="41">
        <v>13</v>
      </c>
      <c r="L465" s="39" t="s">
        <v>15</v>
      </c>
      <c r="M465" s="38">
        <f t="shared" si="7"/>
        <v>48</v>
      </c>
    </row>
    <row r="466" customHeight="1" spans="1:13">
      <c r="A466" s="39">
        <v>465</v>
      </c>
      <c r="B466" s="39">
        <v>0</v>
      </c>
      <c r="C466" s="39">
        <v>3</v>
      </c>
      <c r="D466" s="40" t="s">
        <v>672</v>
      </c>
      <c r="E466" s="40" t="s">
        <v>13</v>
      </c>
      <c r="G466" s="39">
        <v>0</v>
      </c>
      <c r="H466" s="39">
        <v>0</v>
      </c>
      <c r="I466" s="40" t="s">
        <v>673</v>
      </c>
      <c r="J466" s="41">
        <v>8.05</v>
      </c>
      <c r="L466" s="39" t="s">
        <v>15</v>
      </c>
      <c r="M466" s="38">
        <f t="shared" si="7"/>
        <v>29.6991176470588</v>
      </c>
    </row>
    <row r="467" customHeight="1" spans="1:13">
      <c r="A467" s="39">
        <v>466</v>
      </c>
      <c r="B467" s="39">
        <v>0</v>
      </c>
      <c r="C467" s="39">
        <v>3</v>
      </c>
      <c r="D467" s="40" t="s">
        <v>674</v>
      </c>
      <c r="E467" s="40" t="s">
        <v>13</v>
      </c>
      <c r="F467" s="39">
        <v>38</v>
      </c>
      <c r="G467" s="39">
        <v>0</v>
      </c>
      <c r="H467" s="39">
        <v>0</v>
      </c>
      <c r="I467" s="40" t="s">
        <v>675</v>
      </c>
      <c r="J467" s="41">
        <v>7.05</v>
      </c>
      <c r="L467" s="39" t="s">
        <v>15</v>
      </c>
      <c r="M467" s="38">
        <f t="shared" si="7"/>
        <v>38</v>
      </c>
    </row>
    <row r="468" customHeight="1" spans="1:13">
      <c r="A468" s="39">
        <v>467</v>
      </c>
      <c r="B468" s="39">
        <v>0</v>
      </c>
      <c r="C468" s="39">
        <v>2</v>
      </c>
      <c r="D468" s="40" t="s">
        <v>676</v>
      </c>
      <c r="E468" s="40" t="s">
        <v>13</v>
      </c>
      <c r="G468" s="39">
        <v>0</v>
      </c>
      <c r="H468" s="39">
        <v>0</v>
      </c>
      <c r="I468" s="40">
        <v>239853</v>
      </c>
      <c r="J468" s="41">
        <v>0</v>
      </c>
      <c r="L468" s="39" t="s">
        <v>15</v>
      </c>
      <c r="M468" s="38">
        <f t="shared" si="7"/>
        <v>29.6991176470588</v>
      </c>
    </row>
    <row r="469" customHeight="1" spans="1:13">
      <c r="A469" s="39">
        <v>468</v>
      </c>
      <c r="B469" s="39">
        <v>0</v>
      </c>
      <c r="C469" s="39">
        <v>1</v>
      </c>
      <c r="D469" s="40" t="s">
        <v>677</v>
      </c>
      <c r="E469" s="40" t="s">
        <v>13</v>
      </c>
      <c r="F469" s="39">
        <v>56</v>
      </c>
      <c r="G469" s="39">
        <v>0</v>
      </c>
      <c r="H469" s="39">
        <v>0</v>
      </c>
      <c r="I469" s="40">
        <v>113792</v>
      </c>
      <c r="J469" s="41">
        <v>26.55</v>
      </c>
      <c r="L469" s="39" t="s">
        <v>15</v>
      </c>
      <c r="M469" s="38">
        <f t="shared" si="7"/>
        <v>56</v>
      </c>
    </row>
    <row r="470" customHeight="1" spans="1:13">
      <c r="A470" s="39">
        <v>469</v>
      </c>
      <c r="B470" s="39">
        <v>0</v>
      </c>
      <c r="C470" s="39">
        <v>3</v>
      </c>
      <c r="D470" s="40" t="s">
        <v>678</v>
      </c>
      <c r="E470" s="40" t="s">
        <v>13</v>
      </c>
      <c r="G470" s="39">
        <v>0</v>
      </c>
      <c r="H470" s="39">
        <v>0</v>
      </c>
      <c r="I470" s="40">
        <v>36209</v>
      </c>
      <c r="J470" s="41">
        <v>7.725</v>
      </c>
      <c r="L470" s="39" t="s">
        <v>27</v>
      </c>
      <c r="M470" s="38">
        <f t="shared" si="7"/>
        <v>29.6991176470588</v>
      </c>
    </row>
    <row r="471" customHeight="1" spans="1:13">
      <c r="A471" s="39">
        <v>470</v>
      </c>
      <c r="B471" s="39">
        <v>1</v>
      </c>
      <c r="C471" s="39">
        <v>3</v>
      </c>
      <c r="D471" s="40" t="s">
        <v>679</v>
      </c>
      <c r="E471" s="40" t="s">
        <v>17</v>
      </c>
      <c r="F471" s="39">
        <v>0.75</v>
      </c>
      <c r="G471" s="39">
        <v>2</v>
      </c>
      <c r="H471" s="39">
        <v>1</v>
      </c>
      <c r="I471" s="40">
        <v>2666</v>
      </c>
      <c r="J471" s="41">
        <v>19.2583</v>
      </c>
      <c r="L471" s="39" t="s">
        <v>20</v>
      </c>
      <c r="M471" s="38">
        <f t="shared" si="7"/>
        <v>0.75</v>
      </c>
    </row>
    <row r="472" customHeight="1" spans="1:13">
      <c r="A472" s="39">
        <v>471</v>
      </c>
      <c r="B472" s="39">
        <v>0</v>
      </c>
      <c r="C472" s="39">
        <v>3</v>
      </c>
      <c r="D472" s="40" t="s">
        <v>680</v>
      </c>
      <c r="E472" s="40" t="s">
        <v>13</v>
      </c>
      <c r="G472" s="39">
        <v>0</v>
      </c>
      <c r="H472" s="39">
        <v>0</v>
      </c>
      <c r="I472" s="40">
        <v>323592</v>
      </c>
      <c r="J472" s="41">
        <v>7.25</v>
      </c>
      <c r="L472" s="39" t="s">
        <v>15</v>
      </c>
      <c r="M472" s="38">
        <f t="shared" si="7"/>
        <v>29.6991176470588</v>
      </c>
    </row>
    <row r="473" customHeight="1" spans="1:13">
      <c r="A473" s="39">
        <v>472</v>
      </c>
      <c r="B473" s="39">
        <v>0</v>
      </c>
      <c r="C473" s="39">
        <v>3</v>
      </c>
      <c r="D473" s="40" t="s">
        <v>681</v>
      </c>
      <c r="E473" s="40" t="s">
        <v>13</v>
      </c>
      <c r="F473" s="39">
        <v>38</v>
      </c>
      <c r="G473" s="39">
        <v>0</v>
      </c>
      <c r="H473" s="39">
        <v>0</v>
      </c>
      <c r="I473" s="40">
        <v>315089</v>
      </c>
      <c r="J473" s="41">
        <v>8.6625</v>
      </c>
      <c r="L473" s="39" t="s">
        <v>15</v>
      </c>
      <c r="M473" s="38">
        <f t="shared" si="7"/>
        <v>38</v>
      </c>
    </row>
    <row r="474" customHeight="1" spans="1:13">
      <c r="A474" s="39">
        <v>473</v>
      </c>
      <c r="B474" s="39">
        <v>1</v>
      </c>
      <c r="C474" s="39">
        <v>2</v>
      </c>
      <c r="D474" s="40" t="s">
        <v>682</v>
      </c>
      <c r="E474" s="40" t="s">
        <v>17</v>
      </c>
      <c r="F474" s="39">
        <v>33</v>
      </c>
      <c r="G474" s="39">
        <v>1</v>
      </c>
      <c r="H474" s="39">
        <v>2</v>
      </c>
      <c r="I474" s="40" t="s">
        <v>103</v>
      </c>
      <c r="J474" s="41">
        <v>27.75</v>
      </c>
      <c r="L474" s="39" t="s">
        <v>15</v>
      </c>
      <c r="M474" s="38">
        <f t="shared" si="7"/>
        <v>33</v>
      </c>
    </row>
    <row r="475" customHeight="1" spans="1:13">
      <c r="A475" s="39">
        <v>474</v>
      </c>
      <c r="B475" s="39">
        <v>1</v>
      </c>
      <c r="C475" s="39">
        <v>2</v>
      </c>
      <c r="D475" s="40" t="s">
        <v>683</v>
      </c>
      <c r="E475" s="40" t="s">
        <v>17</v>
      </c>
      <c r="F475" s="39">
        <v>23</v>
      </c>
      <c r="G475" s="39">
        <v>0</v>
      </c>
      <c r="H475" s="39">
        <v>0</v>
      </c>
      <c r="I475" s="40" t="s">
        <v>684</v>
      </c>
      <c r="J475" s="41">
        <v>13.7917</v>
      </c>
      <c r="K475" s="42" t="s">
        <v>442</v>
      </c>
      <c r="L475" s="39" t="s">
        <v>20</v>
      </c>
      <c r="M475" s="38">
        <f t="shared" si="7"/>
        <v>23</v>
      </c>
    </row>
    <row r="476" customHeight="1" spans="1:13">
      <c r="A476" s="39">
        <v>475</v>
      </c>
      <c r="B476" s="39">
        <v>0</v>
      </c>
      <c r="C476" s="39">
        <v>3</v>
      </c>
      <c r="D476" s="40" t="s">
        <v>685</v>
      </c>
      <c r="E476" s="40" t="s">
        <v>17</v>
      </c>
      <c r="F476" s="39">
        <v>22</v>
      </c>
      <c r="G476" s="39">
        <v>0</v>
      </c>
      <c r="H476" s="39">
        <v>0</v>
      </c>
      <c r="I476" s="40">
        <v>7553</v>
      </c>
      <c r="J476" s="41">
        <v>9.8375</v>
      </c>
      <c r="L476" s="39" t="s">
        <v>15</v>
      </c>
      <c r="M476" s="38">
        <f t="shared" si="7"/>
        <v>22</v>
      </c>
    </row>
    <row r="477" customHeight="1" spans="1:13">
      <c r="A477" s="39">
        <v>476</v>
      </c>
      <c r="B477" s="39">
        <v>0</v>
      </c>
      <c r="C477" s="39">
        <v>1</v>
      </c>
      <c r="D477" s="40" t="s">
        <v>686</v>
      </c>
      <c r="E477" s="40" t="s">
        <v>13</v>
      </c>
      <c r="G477" s="39">
        <v>0</v>
      </c>
      <c r="H477" s="39">
        <v>0</v>
      </c>
      <c r="I477" s="40">
        <v>110465</v>
      </c>
      <c r="J477" s="41">
        <v>52</v>
      </c>
      <c r="K477" s="42" t="s">
        <v>687</v>
      </c>
      <c r="L477" s="39" t="s">
        <v>15</v>
      </c>
      <c r="M477" s="38">
        <f t="shared" si="7"/>
        <v>29.6991176470588</v>
      </c>
    </row>
    <row r="478" customHeight="1" spans="1:13">
      <c r="A478" s="39">
        <v>477</v>
      </c>
      <c r="B478" s="39">
        <v>0</v>
      </c>
      <c r="C478" s="39">
        <v>2</v>
      </c>
      <c r="D478" s="40" t="s">
        <v>688</v>
      </c>
      <c r="E478" s="40" t="s">
        <v>13</v>
      </c>
      <c r="F478" s="39">
        <v>34</v>
      </c>
      <c r="G478" s="39">
        <v>1</v>
      </c>
      <c r="H478" s="39">
        <v>0</v>
      </c>
      <c r="I478" s="40">
        <v>31027</v>
      </c>
      <c r="J478" s="41">
        <v>21</v>
      </c>
      <c r="L478" s="39" t="s">
        <v>15</v>
      </c>
      <c r="M478" s="38">
        <f t="shared" si="7"/>
        <v>34</v>
      </c>
    </row>
    <row r="479" customHeight="1" spans="1:13">
      <c r="A479" s="39">
        <v>478</v>
      </c>
      <c r="B479" s="39">
        <v>0</v>
      </c>
      <c r="C479" s="39">
        <v>3</v>
      </c>
      <c r="D479" s="40" t="s">
        <v>689</v>
      </c>
      <c r="E479" s="40" t="s">
        <v>13</v>
      </c>
      <c r="F479" s="39">
        <v>29</v>
      </c>
      <c r="G479" s="39">
        <v>1</v>
      </c>
      <c r="H479" s="39">
        <v>0</v>
      </c>
      <c r="I479" s="40">
        <v>3460</v>
      </c>
      <c r="J479" s="41">
        <v>7.0458</v>
      </c>
      <c r="L479" s="39" t="s">
        <v>15</v>
      </c>
      <c r="M479" s="38">
        <f t="shared" si="7"/>
        <v>29</v>
      </c>
    </row>
    <row r="480" customHeight="1" spans="1:13">
      <c r="A480" s="39">
        <v>479</v>
      </c>
      <c r="B480" s="39">
        <v>0</v>
      </c>
      <c r="C480" s="39">
        <v>3</v>
      </c>
      <c r="D480" s="40" t="s">
        <v>690</v>
      </c>
      <c r="E480" s="40" t="s">
        <v>13</v>
      </c>
      <c r="F480" s="39">
        <v>22</v>
      </c>
      <c r="G480" s="39">
        <v>0</v>
      </c>
      <c r="H480" s="39">
        <v>0</v>
      </c>
      <c r="I480" s="40">
        <v>350060</v>
      </c>
      <c r="J480" s="41">
        <v>7.5208</v>
      </c>
      <c r="L480" s="39" t="s">
        <v>15</v>
      </c>
      <c r="M480" s="38">
        <f t="shared" si="7"/>
        <v>22</v>
      </c>
    </row>
    <row r="481" customHeight="1" spans="1:13">
      <c r="A481" s="39">
        <v>480</v>
      </c>
      <c r="B481" s="39">
        <v>1</v>
      </c>
      <c r="C481" s="39">
        <v>3</v>
      </c>
      <c r="D481" s="40" t="s">
        <v>691</v>
      </c>
      <c r="E481" s="40" t="s">
        <v>17</v>
      </c>
      <c r="F481" s="39">
        <v>2</v>
      </c>
      <c r="G481" s="39">
        <v>0</v>
      </c>
      <c r="H481" s="39">
        <v>1</v>
      </c>
      <c r="I481" s="40">
        <v>3101298</v>
      </c>
      <c r="J481" s="41">
        <v>12.2875</v>
      </c>
      <c r="L481" s="39" t="s">
        <v>15</v>
      </c>
      <c r="M481" s="38">
        <f t="shared" si="7"/>
        <v>2</v>
      </c>
    </row>
    <row r="482" customHeight="1" spans="1:13">
      <c r="A482" s="39">
        <v>481</v>
      </c>
      <c r="B482" s="39">
        <v>0</v>
      </c>
      <c r="C482" s="39">
        <v>3</v>
      </c>
      <c r="D482" s="40" t="s">
        <v>692</v>
      </c>
      <c r="E482" s="40" t="s">
        <v>13</v>
      </c>
      <c r="F482" s="39">
        <v>9</v>
      </c>
      <c r="G482" s="39">
        <v>5</v>
      </c>
      <c r="H482" s="39">
        <v>2</v>
      </c>
      <c r="I482" s="40" t="s">
        <v>105</v>
      </c>
      <c r="J482" s="41">
        <v>46.9</v>
      </c>
      <c r="L482" s="39" t="s">
        <v>15</v>
      </c>
      <c r="M482" s="38">
        <f t="shared" si="7"/>
        <v>9</v>
      </c>
    </row>
    <row r="483" customHeight="1" spans="1:13">
      <c r="A483" s="39">
        <v>482</v>
      </c>
      <c r="B483" s="39">
        <v>0</v>
      </c>
      <c r="C483" s="39">
        <v>2</v>
      </c>
      <c r="D483" s="40" t="s">
        <v>693</v>
      </c>
      <c r="E483" s="40" t="s">
        <v>13</v>
      </c>
      <c r="G483" s="39">
        <v>0</v>
      </c>
      <c r="H483" s="39">
        <v>0</v>
      </c>
      <c r="I483" s="40">
        <v>239854</v>
      </c>
      <c r="J483" s="41">
        <v>0</v>
      </c>
      <c r="L483" s="39" t="s">
        <v>15</v>
      </c>
      <c r="M483" s="38">
        <f t="shared" si="7"/>
        <v>29.6991176470588</v>
      </c>
    </row>
    <row r="484" customHeight="1" spans="1:13">
      <c r="A484" s="39">
        <v>483</v>
      </c>
      <c r="B484" s="39">
        <v>0</v>
      </c>
      <c r="C484" s="39">
        <v>3</v>
      </c>
      <c r="D484" s="40" t="s">
        <v>694</v>
      </c>
      <c r="E484" s="40" t="s">
        <v>13</v>
      </c>
      <c r="F484" s="39">
        <v>50</v>
      </c>
      <c r="G484" s="39">
        <v>0</v>
      </c>
      <c r="H484" s="39">
        <v>0</v>
      </c>
      <c r="I484" s="40" t="s">
        <v>695</v>
      </c>
      <c r="J484" s="41">
        <v>8.05</v>
      </c>
      <c r="L484" s="39" t="s">
        <v>15</v>
      </c>
      <c r="M484" s="38">
        <f t="shared" si="7"/>
        <v>50</v>
      </c>
    </row>
    <row r="485" customHeight="1" spans="1:13">
      <c r="A485" s="39">
        <v>484</v>
      </c>
      <c r="B485" s="39">
        <v>1</v>
      </c>
      <c r="C485" s="39">
        <v>3</v>
      </c>
      <c r="D485" s="40" t="s">
        <v>696</v>
      </c>
      <c r="E485" s="40" t="s">
        <v>17</v>
      </c>
      <c r="F485" s="39">
        <v>63</v>
      </c>
      <c r="G485" s="39">
        <v>0</v>
      </c>
      <c r="H485" s="39">
        <v>0</v>
      </c>
      <c r="I485" s="40">
        <v>4134</v>
      </c>
      <c r="J485" s="41">
        <v>9.5875</v>
      </c>
      <c r="L485" s="39" t="s">
        <v>15</v>
      </c>
      <c r="M485" s="38">
        <f t="shared" si="7"/>
        <v>63</v>
      </c>
    </row>
    <row r="486" customHeight="1" spans="1:13">
      <c r="A486" s="39">
        <v>485</v>
      </c>
      <c r="B486" s="39">
        <v>1</v>
      </c>
      <c r="C486" s="39">
        <v>1</v>
      </c>
      <c r="D486" s="40" t="s">
        <v>697</v>
      </c>
      <c r="E486" s="40" t="s">
        <v>13</v>
      </c>
      <c r="F486" s="39">
        <v>25</v>
      </c>
      <c r="G486" s="39">
        <v>1</v>
      </c>
      <c r="H486" s="39">
        <v>0</v>
      </c>
      <c r="I486" s="40">
        <v>11967</v>
      </c>
      <c r="J486" s="41">
        <v>91.0792</v>
      </c>
      <c r="K486" s="42" t="s">
        <v>439</v>
      </c>
      <c r="L486" s="39" t="s">
        <v>20</v>
      </c>
      <c r="M486" s="38">
        <f t="shared" si="7"/>
        <v>25</v>
      </c>
    </row>
    <row r="487" customHeight="1" spans="1:13">
      <c r="A487" s="39">
        <v>486</v>
      </c>
      <c r="B487" s="39">
        <v>0</v>
      </c>
      <c r="C487" s="39">
        <v>3</v>
      </c>
      <c r="D487" s="40" t="s">
        <v>698</v>
      </c>
      <c r="E487" s="40" t="s">
        <v>17</v>
      </c>
      <c r="G487" s="39">
        <v>3</v>
      </c>
      <c r="H487" s="39">
        <v>1</v>
      </c>
      <c r="I487" s="40">
        <v>4133</v>
      </c>
      <c r="J487" s="41">
        <v>25.4667</v>
      </c>
      <c r="L487" s="39" t="s">
        <v>15</v>
      </c>
      <c r="M487" s="38">
        <f t="shared" si="7"/>
        <v>29.6991176470588</v>
      </c>
    </row>
    <row r="488" customHeight="1" spans="1:13">
      <c r="A488" s="39">
        <v>487</v>
      </c>
      <c r="B488" s="39">
        <v>1</v>
      </c>
      <c r="C488" s="39">
        <v>1</v>
      </c>
      <c r="D488" s="40" t="s">
        <v>699</v>
      </c>
      <c r="E488" s="40" t="s">
        <v>17</v>
      </c>
      <c r="F488" s="39">
        <v>35</v>
      </c>
      <c r="G488" s="39">
        <v>1</v>
      </c>
      <c r="H488" s="39">
        <v>0</v>
      </c>
      <c r="I488" s="40">
        <v>19943</v>
      </c>
      <c r="J488" s="41">
        <v>90</v>
      </c>
      <c r="K488" s="42" t="s">
        <v>342</v>
      </c>
      <c r="L488" s="39" t="s">
        <v>15</v>
      </c>
      <c r="M488" s="38">
        <f t="shared" si="7"/>
        <v>35</v>
      </c>
    </row>
    <row r="489" customHeight="1" spans="1:13">
      <c r="A489" s="39">
        <v>488</v>
      </c>
      <c r="B489" s="39">
        <v>0</v>
      </c>
      <c r="C489" s="39">
        <v>1</v>
      </c>
      <c r="D489" s="40" t="s">
        <v>700</v>
      </c>
      <c r="E489" s="40" t="s">
        <v>13</v>
      </c>
      <c r="F489" s="39">
        <v>58</v>
      </c>
      <c r="G489" s="39">
        <v>0</v>
      </c>
      <c r="H489" s="39">
        <v>0</v>
      </c>
      <c r="I489" s="40">
        <v>11771</v>
      </c>
      <c r="J489" s="41">
        <v>29.7</v>
      </c>
      <c r="K489" s="42" t="s">
        <v>701</v>
      </c>
      <c r="L489" s="39" t="s">
        <v>20</v>
      </c>
      <c r="M489" s="38">
        <f t="shared" si="7"/>
        <v>58</v>
      </c>
    </row>
    <row r="490" customHeight="1" spans="1:13">
      <c r="A490" s="39">
        <v>489</v>
      </c>
      <c r="B490" s="39">
        <v>0</v>
      </c>
      <c r="C490" s="39">
        <v>3</v>
      </c>
      <c r="D490" s="40" t="s">
        <v>702</v>
      </c>
      <c r="E490" s="40" t="s">
        <v>13</v>
      </c>
      <c r="F490" s="39">
        <v>30</v>
      </c>
      <c r="G490" s="39">
        <v>0</v>
      </c>
      <c r="H490" s="39">
        <v>0</v>
      </c>
      <c r="I490" s="40" t="s">
        <v>703</v>
      </c>
      <c r="J490" s="41">
        <v>8.05</v>
      </c>
      <c r="L490" s="39" t="s">
        <v>15</v>
      </c>
      <c r="M490" s="38">
        <f t="shared" si="7"/>
        <v>30</v>
      </c>
    </row>
    <row r="491" customHeight="1" spans="1:13">
      <c r="A491" s="39">
        <v>490</v>
      </c>
      <c r="B491" s="39">
        <v>1</v>
      </c>
      <c r="C491" s="39">
        <v>3</v>
      </c>
      <c r="D491" s="40" t="s">
        <v>704</v>
      </c>
      <c r="E491" s="40" t="s">
        <v>13</v>
      </c>
      <c r="F491" s="39">
        <v>9</v>
      </c>
      <c r="G491" s="39">
        <v>1</v>
      </c>
      <c r="H491" s="39">
        <v>1</v>
      </c>
      <c r="I491" s="40" t="s">
        <v>522</v>
      </c>
      <c r="J491" s="41">
        <v>15.9</v>
      </c>
      <c r="L491" s="39" t="s">
        <v>15</v>
      </c>
      <c r="M491" s="38">
        <f t="shared" si="7"/>
        <v>9</v>
      </c>
    </row>
    <row r="492" customHeight="1" spans="1:13">
      <c r="A492" s="39">
        <v>491</v>
      </c>
      <c r="B492" s="39">
        <v>0</v>
      </c>
      <c r="C492" s="39">
        <v>3</v>
      </c>
      <c r="D492" s="40" t="s">
        <v>705</v>
      </c>
      <c r="E492" s="40" t="s">
        <v>13</v>
      </c>
      <c r="G492" s="39">
        <v>1</v>
      </c>
      <c r="H492" s="39">
        <v>0</v>
      </c>
      <c r="I492" s="40">
        <v>65304</v>
      </c>
      <c r="J492" s="41">
        <v>19.9667</v>
      </c>
      <c r="L492" s="39" t="s">
        <v>15</v>
      </c>
      <c r="M492" s="38">
        <f t="shared" si="7"/>
        <v>29.6991176470588</v>
      </c>
    </row>
    <row r="493" customHeight="1" spans="1:13">
      <c r="A493" s="39">
        <v>492</v>
      </c>
      <c r="B493" s="39">
        <v>0</v>
      </c>
      <c r="C493" s="39">
        <v>3</v>
      </c>
      <c r="D493" s="40" t="s">
        <v>706</v>
      </c>
      <c r="E493" s="40" t="s">
        <v>13</v>
      </c>
      <c r="F493" s="39">
        <v>21</v>
      </c>
      <c r="G493" s="39">
        <v>0</v>
      </c>
      <c r="H493" s="39">
        <v>0</v>
      </c>
      <c r="I493" s="40" t="s">
        <v>707</v>
      </c>
      <c r="J493" s="41">
        <v>7.25</v>
      </c>
      <c r="L493" s="39" t="s">
        <v>15</v>
      </c>
      <c r="M493" s="38">
        <f t="shared" si="7"/>
        <v>21</v>
      </c>
    </row>
    <row r="494" customHeight="1" spans="1:13">
      <c r="A494" s="39">
        <v>493</v>
      </c>
      <c r="B494" s="39">
        <v>0</v>
      </c>
      <c r="C494" s="39">
        <v>1</v>
      </c>
      <c r="D494" s="40" t="s">
        <v>708</v>
      </c>
      <c r="E494" s="40" t="s">
        <v>13</v>
      </c>
      <c r="F494" s="39">
        <v>55</v>
      </c>
      <c r="G494" s="39">
        <v>0</v>
      </c>
      <c r="H494" s="39">
        <v>0</v>
      </c>
      <c r="I494" s="40">
        <v>113787</v>
      </c>
      <c r="J494" s="41">
        <v>30.5</v>
      </c>
      <c r="K494" s="42" t="s">
        <v>709</v>
      </c>
      <c r="L494" s="39" t="s">
        <v>15</v>
      </c>
      <c r="M494" s="38">
        <f t="shared" si="7"/>
        <v>55</v>
      </c>
    </row>
    <row r="495" customHeight="1" spans="1:13">
      <c r="A495" s="39">
        <v>494</v>
      </c>
      <c r="B495" s="39">
        <v>0</v>
      </c>
      <c r="C495" s="39">
        <v>1</v>
      </c>
      <c r="D495" s="40" t="s">
        <v>710</v>
      </c>
      <c r="E495" s="40" t="s">
        <v>13</v>
      </c>
      <c r="F495" s="39">
        <v>71</v>
      </c>
      <c r="G495" s="39">
        <v>0</v>
      </c>
      <c r="H495" s="39">
        <v>0</v>
      </c>
      <c r="I495" s="40" t="s">
        <v>711</v>
      </c>
      <c r="J495" s="41">
        <v>49.5042</v>
      </c>
      <c r="L495" s="39" t="s">
        <v>20</v>
      </c>
      <c r="M495" s="38">
        <f t="shared" si="7"/>
        <v>71</v>
      </c>
    </row>
    <row r="496" customHeight="1" spans="1:13">
      <c r="A496" s="39">
        <v>495</v>
      </c>
      <c r="B496" s="39">
        <v>0</v>
      </c>
      <c r="C496" s="39">
        <v>3</v>
      </c>
      <c r="D496" s="40" t="s">
        <v>712</v>
      </c>
      <c r="E496" s="40" t="s">
        <v>13</v>
      </c>
      <c r="F496" s="39">
        <v>21</v>
      </c>
      <c r="G496" s="39">
        <v>0</v>
      </c>
      <c r="H496" s="39">
        <v>0</v>
      </c>
      <c r="I496" s="40" t="s">
        <v>713</v>
      </c>
      <c r="J496" s="41">
        <v>8.05</v>
      </c>
      <c r="L496" s="39" t="s">
        <v>15</v>
      </c>
      <c r="M496" s="38">
        <f t="shared" si="7"/>
        <v>21</v>
      </c>
    </row>
    <row r="497" customHeight="1" spans="1:13">
      <c r="A497" s="39">
        <v>496</v>
      </c>
      <c r="B497" s="39">
        <v>0</v>
      </c>
      <c r="C497" s="39">
        <v>3</v>
      </c>
      <c r="D497" s="40" t="s">
        <v>714</v>
      </c>
      <c r="E497" s="40" t="s">
        <v>13</v>
      </c>
      <c r="G497" s="39">
        <v>0</v>
      </c>
      <c r="H497" s="39">
        <v>0</v>
      </c>
      <c r="I497" s="40">
        <v>2627</v>
      </c>
      <c r="J497" s="41">
        <v>14.4583</v>
      </c>
      <c r="L497" s="39" t="s">
        <v>20</v>
      </c>
      <c r="M497" s="38">
        <f t="shared" si="7"/>
        <v>29.6991176470588</v>
      </c>
    </row>
    <row r="498" customHeight="1" spans="1:13">
      <c r="A498" s="39">
        <v>497</v>
      </c>
      <c r="B498" s="39">
        <v>1</v>
      </c>
      <c r="C498" s="39">
        <v>1</v>
      </c>
      <c r="D498" s="40" t="s">
        <v>715</v>
      </c>
      <c r="E498" s="40" t="s">
        <v>17</v>
      </c>
      <c r="F498" s="39">
        <v>54</v>
      </c>
      <c r="G498" s="39">
        <v>1</v>
      </c>
      <c r="H498" s="39">
        <v>0</v>
      </c>
      <c r="I498" s="40">
        <v>36947</v>
      </c>
      <c r="J498" s="41">
        <v>78.2667</v>
      </c>
      <c r="K498" s="42" t="s">
        <v>716</v>
      </c>
      <c r="L498" s="39" t="s">
        <v>20</v>
      </c>
      <c r="M498" s="38">
        <f t="shared" si="7"/>
        <v>54</v>
      </c>
    </row>
    <row r="499" customHeight="1" spans="1:13">
      <c r="A499" s="39">
        <v>498</v>
      </c>
      <c r="B499" s="39">
        <v>0</v>
      </c>
      <c r="C499" s="39">
        <v>3</v>
      </c>
      <c r="D499" s="40" t="s">
        <v>717</v>
      </c>
      <c r="E499" s="40" t="s">
        <v>13</v>
      </c>
      <c r="G499" s="39">
        <v>0</v>
      </c>
      <c r="H499" s="39">
        <v>0</v>
      </c>
      <c r="I499" s="40" t="s">
        <v>718</v>
      </c>
      <c r="J499" s="41">
        <v>15.1</v>
      </c>
      <c r="L499" s="39" t="s">
        <v>15</v>
      </c>
      <c r="M499" s="38">
        <f t="shared" si="7"/>
        <v>29.6991176470588</v>
      </c>
    </row>
    <row r="500" customHeight="1" spans="1:13">
      <c r="A500" s="39">
        <v>499</v>
      </c>
      <c r="B500" s="39">
        <v>0</v>
      </c>
      <c r="C500" s="39">
        <v>1</v>
      </c>
      <c r="D500" s="40" t="s">
        <v>719</v>
      </c>
      <c r="E500" s="40" t="s">
        <v>17</v>
      </c>
      <c r="F500" s="39">
        <v>25</v>
      </c>
      <c r="G500" s="39">
        <v>1</v>
      </c>
      <c r="H500" s="39">
        <v>2</v>
      </c>
      <c r="I500" s="40">
        <v>113781</v>
      </c>
      <c r="J500" s="41">
        <v>151.55</v>
      </c>
      <c r="K500" s="42" t="s">
        <v>449</v>
      </c>
      <c r="L500" s="39" t="s">
        <v>15</v>
      </c>
      <c r="M500" s="38">
        <f t="shared" si="7"/>
        <v>25</v>
      </c>
    </row>
    <row r="501" customHeight="1" spans="1:13">
      <c r="A501" s="39">
        <v>500</v>
      </c>
      <c r="B501" s="39">
        <v>0</v>
      </c>
      <c r="C501" s="39">
        <v>3</v>
      </c>
      <c r="D501" s="40" t="s">
        <v>720</v>
      </c>
      <c r="E501" s="40" t="s">
        <v>13</v>
      </c>
      <c r="F501" s="39">
        <v>24</v>
      </c>
      <c r="G501" s="39">
        <v>0</v>
      </c>
      <c r="H501" s="39">
        <v>0</v>
      </c>
      <c r="I501" s="40">
        <v>350035</v>
      </c>
      <c r="J501" s="41">
        <v>7.7958</v>
      </c>
      <c r="L501" s="39" t="s">
        <v>15</v>
      </c>
      <c r="M501" s="38">
        <f t="shared" si="7"/>
        <v>24</v>
      </c>
    </row>
    <row r="502" customHeight="1" spans="1:13">
      <c r="A502" s="39">
        <v>501</v>
      </c>
      <c r="B502" s="39">
        <v>0</v>
      </c>
      <c r="C502" s="39">
        <v>3</v>
      </c>
      <c r="D502" s="40" t="s">
        <v>721</v>
      </c>
      <c r="E502" s="40" t="s">
        <v>13</v>
      </c>
      <c r="F502" s="39">
        <v>17</v>
      </c>
      <c r="G502" s="39">
        <v>0</v>
      </c>
      <c r="H502" s="39">
        <v>0</v>
      </c>
      <c r="I502" s="40">
        <v>315086</v>
      </c>
      <c r="J502" s="41">
        <v>8.6625</v>
      </c>
      <c r="L502" s="39" t="s">
        <v>15</v>
      </c>
      <c r="M502" s="38">
        <f t="shared" si="7"/>
        <v>17</v>
      </c>
    </row>
    <row r="503" customHeight="1" spans="1:13">
      <c r="A503" s="39">
        <v>502</v>
      </c>
      <c r="B503" s="39">
        <v>0</v>
      </c>
      <c r="C503" s="39">
        <v>3</v>
      </c>
      <c r="D503" s="40" t="s">
        <v>722</v>
      </c>
      <c r="E503" s="40" t="s">
        <v>17</v>
      </c>
      <c r="F503" s="39">
        <v>21</v>
      </c>
      <c r="G503" s="39">
        <v>0</v>
      </c>
      <c r="H503" s="39">
        <v>0</v>
      </c>
      <c r="I503" s="40">
        <v>364846</v>
      </c>
      <c r="J503" s="41">
        <v>7.75</v>
      </c>
      <c r="L503" s="39" t="s">
        <v>27</v>
      </c>
      <c r="M503" s="38">
        <f t="shared" si="7"/>
        <v>21</v>
      </c>
    </row>
    <row r="504" customHeight="1" spans="1:13">
      <c r="A504" s="39">
        <v>503</v>
      </c>
      <c r="B504" s="39">
        <v>0</v>
      </c>
      <c r="C504" s="39">
        <v>3</v>
      </c>
      <c r="D504" s="40" t="s">
        <v>723</v>
      </c>
      <c r="E504" s="40" t="s">
        <v>17</v>
      </c>
      <c r="G504" s="39">
        <v>0</v>
      </c>
      <c r="H504" s="39">
        <v>0</v>
      </c>
      <c r="I504" s="40">
        <v>330909</v>
      </c>
      <c r="J504" s="41">
        <v>7.6292</v>
      </c>
      <c r="L504" s="39" t="s">
        <v>27</v>
      </c>
      <c r="M504" s="38">
        <f t="shared" si="7"/>
        <v>29.6991176470588</v>
      </c>
    </row>
    <row r="505" customHeight="1" spans="1:13">
      <c r="A505" s="39">
        <v>504</v>
      </c>
      <c r="B505" s="39">
        <v>0</v>
      </c>
      <c r="C505" s="39">
        <v>3</v>
      </c>
      <c r="D505" s="40" t="s">
        <v>724</v>
      </c>
      <c r="E505" s="40" t="s">
        <v>17</v>
      </c>
      <c r="F505" s="39">
        <v>37</v>
      </c>
      <c r="G505" s="39">
        <v>0</v>
      </c>
      <c r="H505" s="39">
        <v>0</v>
      </c>
      <c r="I505" s="40">
        <v>4135</v>
      </c>
      <c r="J505" s="41">
        <v>9.5875</v>
      </c>
      <c r="L505" s="39" t="s">
        <v>15</v>
      </c>
      <c r="M505" s="38">
        <f t="shared" si="7"/>
        <v>37</v>
      </c>
    </row>
    <row r="506" customHeight="1" spans="1:13">
      <c r="A506" s="39">
        <v>505</v>
      </c>
      <c r="B506" s="39">
        <v>1</v>
      </c>
      <c r="C506" s="39">
        <v>1</v>
      </c>
      <c r="D506" s="40" t="s">
        <v>725</v>
      </c>
      <c r="E506" s="40" t="s">
        <v>17</v>
      </c>
      <c r="F506" s="39">
        <v>16</v>
      </c>
      <c r="G506" s="39">
        <v>0</v>
      </c>
      <c r="H506" s="39">
        <v>0</v>
      </c>
      <c r="I506" s="40">
        <v>110152</v>
      </c>
      <c r="J506" s="41">
        <v>86.5</v>
      </c>
      <c r="K506" s="42" t="s">
        <v>726</v>
      </c>
      <c r="L506" s="39" t="s">
        <v>15</v>
      </c>
      <c r="M506" s="38">
        <f t="shared" si="7"/>
        <v>16</v>
      </c>
    </row>
    <row r="507" customHeight="1" spans="1:13">
      <c r="A507" s="39">
        <v>506</v>
      </c>
      <c r="B507" s="39">
        <v>0</v>
      </c>
      <c r="C507" s="39">
        <v>1</v>
      </c>
      <c r="D507" s="40" t="s">
        <v>727</v>
      </c>
      <c r="E507" s="40" t="s">
        <v>13</v>
      </c>
      <c r="F507" s="39">
        <v>18</v>
      </c>
      <c r="G507" s="39">
        <v>1</v>
      </c>
      <c r="H507" s="39">
        <v>0</v>
      </c>
      <c r="I507" s="40" t="s">
        <v>462</v>
      </c>
      <c r="J507" s="41">
        <v>108.9</v>
      </c>
      <c r="K507" s="42" t="s">
        <v>463</v>
      </c>
      <c r="L507" s="39" t="s">
        <v>20</v>
      </c>
      <c r="M507" s="38">
        <f t="shared" si="7"/>
        <v>18</v>
      </c>
    </row>
    <row r="508" customHeight="1" spans="1:13">
      <c r="A508" s="39">
        <v>507</v>
      </c>
      <c r="B508" s="39">
        <v>1</v>
      </c>
      <c r="C508" s="39">
        <v>2</v>
      </c>
      <c r="D508" s="40" t="s">
        <v>728</v>
      </c>
      <c r="E508" s="40" t="s">
        <v>17</v>
      </c>
      <c r="F508" s="39">
        <v>33</v>
      </c>
      <c r="G508" s="39">
        <v>0</v>
      </c>
      <c r="H508" s="39">
        <v>2</v>
      </c>
      <c r="I508" s="40">
        <v>26360</v>
      </c>
      <c r="J508" s="41">
        <v>26</v>
      </c>
      <c r="L508" s="39" t="s">
        <v>15</v>
      </c>
      <c r="M508" s="38">
        <f t="shared" si="7"/>
        <v>33</v>
      </c>
    </row>
    <row r="509" customHeight="1" spans="1:13">
      <c r="A509" s="39">
        <v>508</v>
      </c>
      <c r="B509" s="39">
        <v>1</v>
      </c>
      <c r="C509" s="39">
        <v>1</v>
      </c>
      <c r="D509" s="40" t="s">
        <v>729</v>
      </c>
      <c r="E509" s="40" t="s">
        <v>13</v>
      </c>
      <c r="G509" s="39">
        <v>0</v>
      </c>
      <c r="H509" s="39">
        <v>0</v>
      </c>
      <c r="I509" s="40">
        <v>111427</v>
      </c>
      <c r="J509" s="41">
        <v>26.55</v>
      </c>
      <c r="L509" s="39" t="s">
        <v>15</v>
      </c>
      <c r="M509" s="38">
        <f t="shared" si="7"/>
        <v>29.6991176470588</v>
      </c>
    </row>
    <row r="510" customHeight="1" spans="1:13">
      <c r="A510" s="39">
        <v>509</v>
      </c>
      <c r="B510" s="39">
        <v>0</v>
      </c>
      <c r="C510" s="39">
        <v>3</v>
      </c>
      <c r="D510" s="40" t="s">
        <v>730</v>
      </c>
      <c r="E510" s="40" t="s">
        <v>13</v>
      </c>
      <c r="F510" s="39">
        <v>28</v>
      </c>
      <c r="G510" s="39">
        <v>0</v>
      </c>
      <c r="H510" s="39">
        <v>0</v>
      </c>
      <c r="I510" s="40" t="s">
        <v>731</v>
      </c>
      <c r="J510" s="41">
        <v>22.525</v>
      </c>
      <c r="L510" s="39" t="s">
        <v>15</v>
      </c>
      <c r="M510" s="38">
        <f t="shared" si="7"/>
        <v>28</v>
      </c>
    </row>
    <row r="511" customHeight="1" spans="1:13">
      <c r="A511" s="39">
        <v>510</v>
      </c>
      <c r="B511" s="39">
        <v>1</v>
      </c>
      <c r="C511" s="39">
        <v>3</v>
      </c>
      <c r="D511" s="40" t="s">
        <v>732</v>
      </c>
      <c r="E511" s="40" t="s">
        <v>13</v>
      </c>
      <c r="F511" s="39">
        <v>26</v>
      </c>
      <c r="G511" s="39">
        <v>0</v>
      </c>
      <c r="H511" s="39">
        <v>0</v>
      </c>
      <c r="I511" s="40">
        <v>1601</v>
      </c>
      <c r="J511" s="41">
        <v>56.4958</v>
      </c>
      <c r="L511" s="39" t="s">
        <v>15</v>
      </c>
      <c r="M511" s="38">
        <f t="shared" si="7"/>
        <v>26</v>
      </c>
    </row>
    <row r="512" customHeight="1" spans="1:13">
      <c r="A512" s="39">
        <v>511</v>
      </c>
      <c r="B512" s="39">
        <v>1</v>
      </c>
      <c r="C512" s="39">
        <v>3</v>
      </c>
      <c r="D512" s="40" t="s">
        <v>733</v>
      </c>
      <c r="E512" s="40" t="s">
        <v>13</v>
      </c>
      <c r="F512" s="39">
        <v>29</v>
      </c>
      <c r="G512" s="39">
        <v>0</v>
      </c>
      <c r="H512" s="39">
        <v>0</v>
      </c>
      <c r="I512" s="40">
        <v>382651</v>
      </c>
      <c r="J512" s="41">
        <v>7.75</v>
      </c>
      <c r="L512" s="39" t="s">
        <v>27</v>
      </c>
      <c r="M512" s="38">
        <f t="shared" si="7"/>
        <v>29</v>
      </c>
    </row>
    <row r="513" customHeight="1" spans="1:13">
      <c r="A513" s="39">
        <v>512</v>
      </c>
      <c r="B513" s="39">
        <v>0</v>
      </c>
      <c r="C513" s="39">
        <v>3</v>
      </c>
      <c r="D513" s="40" t="s">
        <v>734</v>
      </c>
      <c r="E513" s="40" t="s">
        <v>13</v>
      </c>
      <c r="G513" s="39">
        <v>0</v>
      </c>
      <c r="H513" s="39">
        <v>0</v>
      </c>
      <c r="I513" s="40" t="s">
        <v>735</v>
      </c>
      <c r="J513" s="41">
        <v>8.05</v>
      </c>
      <c r="L513" s="39" t="s">
        <v>15</v>
      </c>
      <c r="M513" s="38">
        <f t="shared" si="7"/>
        <v>29.6991176470588</v>
      </c>
    </row>
    <row r="514" customHeight="1" spans="1:13">
      <c r="A514" s="39">
        <v>513</v>
      </c>
      <c r="B514" s="39">
        <v>1</v>
      </c>
      <c r="C514" s="39">
        <v>1</v>
      </c>
      <c r="D514" s="40" t="s">
        <v>736</v>
      </c>
      <c r="E514" s="40" t="s">
        <v>13</v>
      </c>
      <c r="F514" s="39">
        <v>36</v>
      </c>
      <c r="G514" s="39">
        <v>0</v>
      </c>
      <c r="H514" s="39">
        <v>0</v>
      </c>
      <c r="I514" s="40" t="s">
        <v>737</v>
      </c>
      <c r="J514" s="41">
        <v>26.2875</v>
      </c>
      <c r="K514" s="42" t="s">
        <v>738</v>
      </c>
      <c r="L514" s="39" t="s">
        <v>15</v>
      </c>
      <c r="M514" s="38">
        <f t="shared" ref="M514:M577" si="8">IF(F514="",AVERAGE($F$2:$F$892),F514)</f>
        <v>36</v>
      </c>
    </row>
    <row r="515" customHeight="1" spans="1:13">
      <c r="A515" s="39">
        <v>514</v>
      </c>
      <c r="B515" s="39">
        <v>1</v>
      </c>
      <c r="C515" s="39">
        <v>1</v>
      </c>
      <c r="D515" s="40" t="s">
        <v>739</v>
      </c>
      <c r="E515" s="40" t="s">
        <v>17</v>
      </c>
      <c r="F515" s="39">
        <v>54</v>
      </c>
      <c r="G515" s="39">
        <v>1</v>
      </c>
      <c r="H515" s="39">
        <v>0</v>
      </c>
      <c r="I515" s="40" t="s">
        <v>740</v>
      </c>
      <c r="J515" s="41">
        <v>59.4</v>
      </c>
      <c r="L515" s="39" t="s">
        <v>20</v>
      </c>
      <c r="M515" s="38">
        <f t="shared" si="8"/>
        <v>54</v>
      </c>
    </row>
    <row r="516" customHeight="1" spans="1:13">
      <c r="A516" s="39">
        <v>515</v>
      </c>
      <c r="B516" s="39">
        <v>0</v>
      </c>
      <c r="C516" s="39">
        <v>3</v>
      </c>
      <c r="D516" s="40" t="s">
        <v>741</v>
      </c>
      <c r="E516" s="40" t="s">
        <v>13</v>
      </c>
      <c r="F516" s="39">
        <v>24</v>
      </c>
      <c r="G516" s="39">
        <v>0</v>
      </c>
      <c r="H516" s="39">
        <v>0</v>
      </c>
      <c r="I516" s="40">
        <v>349209</v>
      </c>
      <c r="J516" s="41">
        <v>7.4958</v>
      </c>
      <c r="L516" s="39" t="s">
        <v>15</v>
      </c>
      <c r="M516" s="38">
        <f t="shared" si="8"/>
        <v>24</v>
      </c>
    </row>
    <row r="517" customHeight="1" spans="1:13">
      <c r="A517" s="39">
        <v>516</v>
      </c>
      <c r="B517" s="39">
        <v>0</v>
      </c>
      <c r="C517" s="39">
        <v>1</v>
      </c>
      <c r="D517" s="40" t="s">
        <v>742</v>
      </c>
      <c r="E517" s="40" t="s">
        <v>13</v>
      </c>
      <c r="F517" s="39">
        <v>47</v>
      </c>
      <c r="G517" s="39">
        <v>0</v>
      </c>
      <c r="H517" s="39">
        <v>0</v>
      </c>
      <c r="I517" s="40">
        <v>36967</v>
      </c>
      <c r="J517" s="41">
        <v>34.0208</v>
      </c>
      <c r="K517" s="42" t="s">
        <v>743</v>
      </c>
      <c r="L517" s="39" t="s">
        <v>15</v>
      </c>
      <c r="M517" s="38">
        <f t="shared" si="8"/>
        <v>47</v>
      </c>
    </row>
    <row r="518" customHeight="1" spans="1:13">
      <c r="A518" s="39">
        <v>517</v>
      </c>
      <c r="B518" s="39">
        <v>1</v>
      </c>
      <c r="C518" s="39">
        <v>2</v>
      </c>
      <c r="D518" s="40" t="s">
        <v>744</v>
      </c>
      <c r="E518" s="40" t="s">
        <v>17</v>
      </c>
      <c r="F518" s="39">
        <v>34</v>
      </c>
      <c r="G518" s="39">
        <v>0</v>
      </c>
      <c r="H518" s="39">
        <v>0</v>
      </c>
      <c r="I518" s="40" t="s">
        <v>745</v>
      </c>
      <c r="J518" s="41">
        <v>10.5</v>
      </c>
      <c r="K518" s="42" t="s">
        <v>117</v>
      </c>
      <c r="L518" s="39" t="s">
        <v>15</v>
      </c>
      <c r="M518" s="38">
        <f t="shared" si="8"/>
        <v>34</v>
      </c>
    </row>
    <row r="519" customHeight="1" spans="1:13">
      <c r="A519" s="39">
        <v>518</v>
      </c>
      <c r="B519" s="39">
        <v>0</v>
      </c>
      <c r="C519" s="39">
        <v>3</v>
      </c>
      <c r="D519" s="40" t="s">
        <v>746</v>
      </c>
      <c r="E519" s="40" t="s">
        <v>13</v>
      </c>
      <c r="G519" s="39">
        <v>0</v>
      </c>
      <c r="H519" s="39">
        <v>0</v>
      </c>
      <c r="I519" s="40">
        <v>371110</v>
      </c>
      <c r="J519" s="41">
        <v>24.15</v>
      </c>
      <c r="L519" s="39" t="s">
        <v>27</v>
      </c>
      <c r="M519" s="38">
        <f t="shared" si="8"/>
        <v>29.6991176470588</v>
      </c>
    </row>
    <row r="520" customHeight="1" spans="1:13">
      <c r="A520" s="39">
        <v>519</v>
      </c>
      <c r="B520" s="39">
        <v>1</v>
      </c>
      <c r="C520" s="39">
        <v>2</v>
      </c>
      <c r="D520" s="40" t="s">
        <v>747</v>
      </c>
      <c r="E520" s="40" t="s">
        <v>17</v>
      </c>
      <c r="F520" s="39">
        <v>36</v>
      </c>
      <c r="G520" s="39">
        <v>1</v>
      </c>
      <c r="H520" s="39">
        <v>0</v>
      </c>
      <c r="I520" s="40">
        <v>226875</v>
      </c>
      <c r="J520" s="41">
        <v>26</v>
      </c>
      <c r="L520" s="39" t="s">
        <v>15</v>
      </c>
      <c r="M520" s="38">
        <f t="shared" si="8"/>
        <v>36</v>
      </c>
    </row>
    <row r="521" customHeight="1" spans="1:13">
      <c r="A521" s="39">
        <v>520</v>
      </c>
      <c r="B521" s="39">
        <v>0</v>
      </c>
      <c r="C521" s="39">
        <v>3</v>
      </c>
      <c r="D521" s="40" t="s">
        <v>748</v>
      </c>
      <c r="E521" s="40" t="s">
        <v>13</v>
      </c>
      <c r="F521" s="39">
        <v>32</v>
      </c>
      <c r="G521" s="39">
        <v>0</v>
      </c>
      <c r="H521" s="39">
        <v>0</v>
      </c>
      <c r="I521" s="40">
        <v>349242</v>
      </c>
      <c r="J521" s="41">
        <v>7.8958</v>
      </c>
      <c r="L521" s="39" t="s">
        <v>15</v>
      </c>
      <c r="M521" s="38">
        <f t="shared" si="8"/>
        <v>32</v>
      </c>
    </row>
    <row r="522" customHeight="1" spans="1:13">
      <c r="A522" s="39">
        <v>521</v>
      </c>
      <c r="B522" s="39">
        <v>1</v>
      </c>
      <c r="C522" s="39">
        <v>1</v>
      </c>
      <c r="D522" s="40" t="s">
        <v>749</v>
      </c>
      <c r="E522" s="40" t="s">
        <v>17</v>
      </c>
      <c r="F522" s="39">
        <v>30</v>
      </c>
      <c r="G522" s="39">
        <v>0</v>
      </c>
      <c r="H522" s="39">
        <v>0</v>
      </c>
      <c r="I522" s="40">
        <v>12749</v>
      </c>
      <c r="J522" s="41">
        <v>93.5</v>
      </c>
      <c r="K522" s="42" t="s">
        <v>750</v>
      </c>
      <c r="L522" s="39" t="s">
        <v>15</v>
      </c>
      <c r="M522" s="38">
        <f t="shared" si="8"/>
        <v>30</v>
      </c>
    </row>
    <row r="523" customHeight="1" spans="1:13">
      <c r="A523" s="39">
        <v>522</v>
      </c>
      <c r="B523" s="39">
        <v>0</v>
      </c>
      <c r="C523" s="39">
        <v>3</v>
      </c>
      <c r="D523" s="40" t="s">
        <v>751</v>
      </c>
      <c r="E523" s="40" t="s">
        <v>13</v>
      </c>
      <c r="F523" s="39">
        <v>22</v>
      </c>
      <c r="G523" s="39">
        <v>0</v>
      </c>
      <c r="H523" s="39">
        <v>0</v>
      </c>
      <c r="I523" s="40">
        <v>349252</v>
      </c>
      <c r="J523" s="41">
        <v>7.8958</v>
      </c>
      <c r="L523" s="39" t="s">
        <v>15</v>
      </c>
      <c r="M523" s="38">
        <f t="shared" si="8"/>
        <v>22</v>
      </c>
    </row>
    <row r="524" customHeight="1" spans="1:13">
      <c r="A524" s="39">
        <v>523</v>
      </c>
      <c r="B524" s="39">
        <v>0</v>
      </c>
      <c r="C524" s="39">
        <v>3</v>
      </c>
      <c r="D524" s="40" t="s">
        <v>752</v>
      </c>
      <c r="E524" s="40" t="s">
        <v>13</v>
      </c>
      <c r="G524" s="39">
        <v>0</v>
      </c>
      <c r="H524" s="39">
        <v>0</v>
      </c>
      <c r="I524" s="40">
        <v>2624</v>
      </c>
      <c r="J524" s="41">
        <v>7.225</v>
      </c>
      <c r="L524" s="39" t="s">
        <v>20</v>
      </c>
      <c r="M524" s="38">
        <f t="shared" si="8"/>
        <v>29.6991176470588</v>
      </c>
    </row>
    <row r="525" customHeight="1" spans="1:13">
      <c r="A525" s="39">
        <v>524</v>
      </c>
      <c r="B525" s="39">
        <v>1</v>
      </c>
      <c r="C525" s="39">
        <v>1</v>
      </c>
      <c r="D525" s="40" t="s">
        <v>753</v>
      </c>
      <c r="E525" s="40" t="s">
        <v>17</v>
      </c>
      <c r="F525" s="39">
        <v>44</v>
      </c>
      <c r="G525" s="39">
        <v>0</v>
      </c>
      <c r="H525" s="39">
        <v>1</v>
      </c>
      <c r="I525" s="40">
        <v>111361</v>
      </c>
      <c r="J525" s="41">
        <v>57.9792</v>
      </c>
      <c r="K525" s="42" t="s">
        <v>497</v>
      </c>
      <c r="L525" s="39" t="s">
        <v>20</v>
      </c>
      <c r="M525" s="38">
        <f t="shared" si="8"/>
        <v>44</v>
      </c>
    </row>
    <row r="526" customHeight="1" spans="1:13">
      <c r="A526" s="39">
        <v>525</v>
      </c>
      <c r="B526" s="39">
        <v>0</v>
      </c>
      <c r="C526" s="39">
        <v>3</v>
      </c>
      <c r="D526" s="40" t="s">
        <v>754</v>
      </c>
      <c r="E526" s="40" t="s">
        <v>13</v>
      </c>
      <c r="G526" s="39">
        <v>0</v>
      </c>
      <c r="H526" s="39">
        <v>0</v>
      </c>
      <c r="I526" s="40">
        <v>2700</v>
      </c>
      <c r="J526" s="41">
        <v>7.2292</v>
      </c>
      <c r="L526" s="39" t="s">
        <v>20</v>
      </c>
      <c r="M526" s="38">
        <f t="shared" si="8"/>
        <v>29.6991176470588</v>
      </c>
    </row>
    <row r="527" customHeight="1" spans="1:13">
      <c r="A527" s="39">
        <v>526</v>
      </c>
      <c r="B527" s="39">
        <v>0</v>
      </c>
      <c r="C527" s="39">
        <v>3</v>
      </c>
      <c r="D527" s="40" t="s">
        <v>755</v>
      </c>
      <c r="E527" s="40" t="s">
        <v>13</v>
      </c>
      <c r="F527" s="39">
        <v>40.5</v>
      </c>
      <c r="G527" s="39">
        <v>0</v>
      </c>
      <c r="H527" s="39">
        <v>0</v>
      </c>
      <c r="I527" s="40">
        <v>367232</v>
      </c>
      <c r="J527" s="41">
        <v>7.75</v>
      </c>
      <c r="L527" s="39" t="s">
        <v>27</v>
      </c>
      <c r="M527" s="38">
        <f t="shared" si="8"/>
        <v>40.5</v>
      </c>
    </row>
    <row r="528" customHeight="1" spans="1:13">
      <c r="A528" s="39">
        <v>527</v>
      </c>
      <c r="B528" s="39">
        <v>1</v>
      </c>
      <c r="C528" s="39">
        <v>2</v>
      </c>
      <c r="D528" s="40" t="s">
        <v>756</v>
      </c>
      <c r="E528" s="40" t="s">
        <v>17</v>
      </c>
      <c r="F528" s="39">
        <v>50</v>
      </c>
      <c r="G528" s="39">
        <v>0</v>
      </c>
      <c r="H528" s="39">
        <v>0</v>
      </c>
      <c r="I528" s="40" t="s">
        <v>757</v>
      </c>
      <c r="J528" s="41">
        <v>10.5</v>
      </c>
      <c r="L528" s="39" t="s">
        <v>15</v>
      </c>
      <c r="M528" s="38">
        <f t="shared" si="8"/>
        <v>50</v>
      </c>
    </row>
    <row r="529" customHeight="1" spans="1:13">
      <c r="A529" s="39">
        <v>528</v>
      </c>
      <c r="B529" s="39">
        <v>0</v>
      </c>
      <c r="C529" s="39">
        <v>1</v>
      </c>
      <c r="D529" s="40" t="s">
        <v>758</v>
      </c>
      <c r="E529" s="40" t="s">
        <v>13</v>
      </c>
      <c r="G529" s="39">
        <v>0</v>
      </c>
      <c r="H529" s="39">
        <v>0</v>
      </c>
      <c r="I529" s="40" t="s">
        <v>759</v>
      </c>
      <c r="J529" s="41">
        <v>221.7792</v>
      </c>
      <c r="K529" s="42" t="s">
        <v>760</v>
      </c>
      <c r="L529" s="39" t="s">
        <v>15</v>
      </c>
      <c r="M529" s="38">
        <f t="shared" si="8"/>
        <v>29.6991176470588</v>
      </c>
    </row>
    <row r="530" customHeight="1" spans="1:13">
      <c r="A530" s="39">
        <v>529</v>
      </c>
      <c r="B530" s="39">
        <v>0</v>
      </c>
      <c r="C530" s="39">
        <v>3</v>
      </c>
      <c r="D530" s="40" t="s">
        <v>761</v>
      </c>
      <c r="E530" s="40" t="s">
        <v>13</v>
      </c>
      <c r="F530" s="39">
        <v>39</v>
      </c>
      <c r="G530" s="39">
        <v>0</v>
      </c>
      <c r="H530" s="39">
        <v>0</v>
      </c>
      <c r="I530" s="40">
        <v>3101296</v>
      </c>
      <c r="J530" s="41">
        <v>7.925</v>
      </c>
      <c r="L530" s="39" t="s">
        <v>15</v>
      </c>
      <c r="M530" s="38">
        <f t="shared" si="8"/>
        <v>39</v>
      </c>
    </row>
    <row r="531" customHeight="1" spans="1:13">
      <c r="A531" s="39">
        <v>530</v>
      </c>
      <c r="B531" s="39">
        <v>0</v>
      </c>
      <c r="C531" s="39">
        <v>2</v>
      </c>
      <c r="D531" s="40" t="s">
        <v>762</v>
      </c>
      <c r="E531" s="40" t="s">
        <v>13</v>
      </c>
      <c r="F531" s="39">
        <v>23</v>
      </c>
      <c r="G531" s="39">
        <v>2</v>
      </c>
      <c r="H531" s="39">
        <v>1</v>
      </c>
      <c r="I531" s="40">
        <v>29104</v>
      </c>
      <c r="J531" s="41">
        <v>11.5</v>
      </c>
      <c r="L531" s="39" t="s">
        <v>15</v>
      </c>
      <c r="M531" s="38">
        <f t="shared" si="8"/>
        <v>23</v>
      </c>
    </row>
    <row r="532" customHeight="1" spans="1:13">
      <c r="A532" s="39">
        <v>531</v>
      </c>
      <c r="B532" s="39">
        <v>1</v>
      </c>
      <c r="C532" s="39">
        <v>2</v>
      </c>
      <c r="D532" s="40" t="s">
        <v>763</v>
      </c>
      <c r="E532" s="40" t="s">
        <v>17</v>
      </c>
      <c r="F532" s="39">
        <v>2</v>
      </c>
      <c r="G532" s="39">
        <v>1</v>
      </c>
      <c r="H532" s="39">
        <v>1</v>
      </c>
      <c r="I532" s="40">
        <v>26360</v>
      </c>
      <c r="J532" s="41">
        <v>26</v>
      </c>
      <c r="L532" s="39" t="s">
        <v>15</v>
      </c>
      <c r="M532" s="38">
        <f t="shared" si="8"/>
        <v>2</v>
      </c>
    </row>
    <row r="533" customHeight="1" spans="1:13">
      <c r="A533" s="39">
        <v>532</v>
      </c>
      <c r="B533" s="39">
        <v>0</v>
      </c>
      <c r="C533" s="39">
        <v>3</v>
      </c>
      <c r="D533" s="40" t="s">
        <v>764</v>
      </c>
      <c r="E533" s="40" t="s">
        <v>13</v>
      </c>
      <c r="G533" s="39">
        <v>0</v>
      </c>
      <c r="H533" s="39">
        <v>0</v>
      </c>
      <c r="I533" s="40">
        <v>2641</v>
      </c>
      <c r="J533" s="41">
        <v>7.2292</v>
      </c>
      <c r="L533" s="39" t="s">
        <v>20</v>
      </c>
      <c r="M533" s="38">
        <f t="shared" si="8"/>
        <v>29.6991176470588</v>
      </c>
    </row>
    <row r="534" customHeight="1" spans="1:13">
      <c r="A534" s="39">
        <v>533</v>
      </c>
      <c r="B534" s="39">
        <v>0</v>
      </c>
      <c r="C534" s="39">
        <v>3</v>
      </c>
      <c r="D534" s="40" t="s">
        <v>765</v>
      </c>
      <c r="E534" s="40" t="s">
        <v>13</v>
      </c>
      <c r="F534" s="39">
        <v>17</v>
      </c>
      <c r="G534" s="39">
        <v>1</v>
      </c>
      <c r="H534" s="39">
        <v>1</v>
      </c>
      <c r="I534" s="40">
        <v>2690</v>
      </c>
      <c r="J534" s="41">
        <v>7.2292</v>
      </c>
      <c r="L534" s="39" t="s">
        <v>20</v>
      </c>
      <c r="M534" s="38">
        <f t="shared" si="8"/>
        <v>17</v>
      </c>
    </row>
    <row r="535" customHeight="1" spans="1:13">
      <c r="A535" s="39">
        <v>534</v>
      </c>
      <c r="B535" s="39">
        <v>1</v>
      </c>
      <c r="C535" s="39">
        <v>3</v>
      </c>
      <c r="D535" s="40" t="s">
        <v>766</v>
      </c>
      <c r="E535" s="40" t="s">
        <v>17</v>
      </c>
      <c r="G535" s="39">
        <v>0</v>
      </c>
      <c r="H535" s="39">
        <v>2</v>
      </c>
      <c r="I535" s="40">
        <v>2668</v>
      </c>
      <c r="J535" s="41">
        <v>22.3583</v>
      </c>
      <c r="L535" s="39" t="s">
        <v>20</v>
      </c>
      <c r="M535" s="38">
        <f t="shared" si="8"/>
        <v>29.6991176470588</v>
      </c>
    </row>
    <row r="536" customHeight="1" spans="1:13">
      <c r="A536" s="39">
        <v>535</v>
      </c>
      <c r="B536" s="39">
        <v>0</v>
      </c>
      <c r="C536" s="39">
        <v>3</v>
      </c>
      <c r="D536" s="40" t="s">
        <v>767</v>
      </c>
      <c r="E536" s="40" t="s">
        <v>17</v>
      </c>
      <c r="F536" s="39">
        <v>30</v>
      </c>
      <c r="G536" s="39">
        <v>0</v>
      </c>
      <c r="H536" s="39">
        <v>0</v>
      </c>
      <c r="I536" s="40">
        <v>315084</v>
      </c>
      <c r="J536" s="41">
        <v>8.6625</v>
      </c>
      <c r="L536" s="39" t="s">
        <v>15</v>
      </c>
      <c r="M536" s="38">
        <f t="shared" si="8"/>
        <v>30</v>
      </c>
    </row>
    <row r="537" customHeight="1" spans="1:13">
      <c r="A537" s="39">
        <v>536</v>
      </c>
      <c r="B537" s="39">
        <v>1</v>
      </c>
      <c r="C537" s="39">
        <v>2</v>
      </c>
      <c r="D537" s="40" t="s">
        <v>768</v>
      </c>
      <c r="E537" s="40" t="s">
        <v>17</v>
      </c>
      <c r="F537" s="39">
        <v>7</v>
      </c>
      <c r="G537" s="39">
        <v>0</v>
      </c>
      <c r="H537" s="39">
        <v>2</v>
      </c>
      <c r="I537" s="40" t="s">
        <v>477</v>
      </c>
      <c r="J537" s="41">
        <v>26.25</v>
      </c>
      <c r="L537" s="39" t="s">
        <v>15</v>
      </c>
      <c r="M537" s="38">
        <f t="shared" si="8"/>
        <v>7</v>
      </c>
    </row>
    <row r="538" customHeight="1" spans="1:13">
      <c r="A538" s="39">
        <v>537</v>
      </c>
      <c r="B538" s="39">
        <v>0</v>
      </c>
      <c r="C538" s="39">
        <v>1</v>
      </c>
      <c r="D538" s="40" t="s">
        <v>769</v>
      </c>
      <c r="E538" s="40" t="s">
        <v>13</v>
      </c>
      <c r="F538" s="39">
        <v>45</v>
      </c>
      <c r="G538" s="39">
        <v>0</v>
      </c>
      <c r="H538" s="39">
        <v>0</v>
      </c>
      <c r="I538" s="40">
        <v>113050</v>
      </c>
      <c r="J538" s="41">
        <v>26.55</v>
      </c>
      <c r="K538" s="42" t="s">
        <v>770</v>
      </c>
      <c r="L538" s="39" t="s">
        <v>15</v>
      </c>
      <c r="M538" s="38">
        <f t="shared" si="8"/>
        <v>45</v>
      </c>
    </row>
    <row r="539" customHeight="1" spans="1:13">
      <c r="A539" s="39">
        <v>538</v>
      </c>
      <c r="B539" s="39">
        <v>1</v>
      </c>
      <c r="C539" s="39">
        <v>1</v>
      </c>
      <c r="D539" s="40" t="s">
        <v>771</v>
      </c>
      <c r="E539" s="40" t="s">
        <v>17</v>
      </c>
      <c r="F539" s="39">
        <v>30</v>
      </c>
      <c r="G539" s="39">
        <v>0</v>
      </c>
      <c r="H539" s="39">
        <v>0</v>
      </c>
      <c r="I539" s="40" t="s">
        <v>772</v>
      </c>
      <c r="J539" s="41">
        <v>106.425</v>
      </c>
      <c r="L539" s="39" t="s">
        <v>20</v>
      </c>
      <c r="M539" s="38">
        <f t="shared" si="8"/>
        <v>30</v>
      </c>
    </row>
    <row r="540" customHeight="1" spans="1:13">
      <c r="A540" s="39">
        <v>539</v>
      </c>
      <c r="B540" s="39">
        <v>0</v>
      </c>
      <c r="C540" s="39">
        <v>3</v>
      </c>
      <c r="D540" s="40" t="s">
        <v>773</v>
      </c>
      <c r="E540" s="40" t="s">
        <v>13</v>
      </c>
      <c r="G540" s="39">
        <v>0</v>
      </c>
      <c r="H540" s="39">
        <v>0</v>
      </c>
      <c r="I540" s="40">
        <v>364498</v>
      </c>
      <c r="J540" s="41">
        <v>14.5</v>
      </c>
      <c r="L540" s="39" t="s">
        <v>15</v>
      </c>
      <c r="M540" s="38">
        <f t="shared" si="8"/>
        <v>29.6991176470588</v>
      </c>
    </row>
    <row r="541" customHeight="1" spans="1:13">
      <c r="A541" s="39">
        <v>540</v>
      </c>
      <c r="B541" s="39">
        <v>1</v>
      </c>
      <c r="C541" s="39">
        <v>1</v>
      </c>
      <c r="D541" s="40" t="s">
        <v>774</v>
      </c>
      <c r="E541" s="40" t="s">
        <v>17</v>
      </c>
      <c r="F541" s="39">
        <v>22</v>
      </c>
      <c r="G541" s="39">
        <v>0</v>
      </c>
      <c r="H541" s="39">
        <v>2</v>
      </c>
      <c r="I541" s="40">
        <v>13568</v>
      </c>
      <c r="J541" s="41">
        <v>49.5</v>
      </c>
      <c r="K541" s="42" t="s">
        <v>775</v>
      </c>
      <c r="L541" s="39" t="s">
        <v>20</v>
      </c>
      <c r="M541" s="38">
        <f t="shared" si="8"/>
        <v>22</v>
      </c>
    </row>
    <row r="542" customHeight="1" spans="1:13">
      <c r="A542" s="39">
        <v>541</v>
      </c>
      <c r="B542" s="39">
        <v>1</v>
      </c>
      <c r="C542" s="39">
        <v>1</v>
      </c>
      <c r="D542" s="40" t="s">
        <v>776</v>
      </c>
      <c r="E542" s="40" t="s">
        <v>17</v>
      </c>
      <c r="F542" s="39">
        <v>36</v>
      </c>
      <c r="G542" s="39">
        <v>0</v>
      </c>
      <c r="H542" s="39">
        <v>2</v>
      </c>
      <c r="I542" s="40" t="s">
        <v>777</v>
      </c>
      <c r="J542" s="41">
        <v>71</v>
      </c>
      <c r="K542" s="42" t="s">
        <v>778</v>
      </c>
      <c r="L542" s="39" t="s">
        <v>15</v>
      </c>
      <c r="M542" s="38">
        <f t="shared" si="8"/>
        <v>36</v>
      </c>
    </row>
    <row r="543" customHeight="1" spans="1:13">
      <c r="A543" s="39">
        <v>542</v>
      </c>
      <c r="B543" s="39">
        <v>0</v>
      </c>
      <c r="C543" s="39">
        <v>3</v>
      </c>
      <c r="D543" s="40" t="s">
        <v>779</v>
      </c>
      <c r="E543" s="40" t="s">
        <v>17</v>
      </c>
      <c r="F543" s="39">
        <v>9</v>
      </c>
      <c r="G543" s="39">
        <v>4</v>
      </c>
      <c r="H543" s="39">
        <v>2</v>
      </c>
      <c r="I543" s="40">
        <v>347082</v>
      </c>
      <c r="J543" s="41">
        <v>31.275</v>
      </c>
      <c r="L543" s="39" t="s">
        <v>15</v>
      </c>
      <c r="M543" s="38">
        <f t="shared" si="8"/>
        <v>9</v>
      </c>
    </row>
    <row r="544" customHeight="1" spans="1:13">
      <c r="A544" s="39">
        <v>543</v>
      </c>
      <c r="B544" s="39">
        <v>0</v>
      </c>
      <c r="C544" s="39">
        <v>3</v>
      </c>
      <c r="D544" s="40" t="s">
        <v>780</v>
      </c>
      <c r="E544" s="40" t="s">
        <v>17</v>
      </c>
      <c r="F544" s="39">
        <v>11</v>
      </c>
      <c r="G544" s="39">
        <v>4</v>
      </c>
      <c r="H544" s="39">
        <v>2</v>
      </c>
      <c r="I544" s="40">
        <v>347082</v>
      </c>
      <c r="J544" s="41">
        <v>31.275</v>
      </c>
      <c r="L544" s="39" t="s">
        <v>15</v>
      </c>
      <c r="M544" s="38">
        <f t="shared" si="8"/>
        <v>11</v>
      </c>
    </row>
    <row r="545" customHeight="1" spans="1:13">
      <c r="A545" s="39">
        <v>544</v>
      </c>
      <c r="B545" s="39">
        <v>1</v>
      </c>
      <c r="C545" s="39">
        <v>2</v>
      </c>
      <c r="D545" s="40" t="s">
        <v>781</v>
      </c>
      <c r="E545" s="40" t="s">
        <v>13</v>
      </c>
      <c r="F545" s="39">
        <v>32</v>
      </c>
      <c r="G545" s="39">
        <v>1</v>
      </c>
      <c r="H545" s="39">
        <v>0</v>
      </c>
      <c r="I545" s="40">
        <v>2908</v>
      </c>
      <c r="J545" s="41">
        <v>26</v>
      </c>
      <c r="L545" s="39" t="s">
        <v>15</v>
      </c>
      <c r="M545" s="38">
        <f t="shared" si="8"/>
        <v>32</v>
      </c>
    </row>
    <row r="546" customHeight="1" spans="1:13">
      <c r="A546" s="39">
        <v>545</v>
      </c>
      <c r="B546" s="39">
        <v>0</v>
      </c>
      <c r="C546" s="39">
        <v>1</v>
      </c>
      <c r="D546" s="40" t="s">
        <v>782</v>
      </c>
      <c r="E546" s="40" t="s">
        <v>13</v>
      </c>
      <c r="F546" s="39">
        <v>50</v>
      </c>
      <c r="G546" s="39">
        <v>1</v>
      </c>
      <c r="H546" s="39">
        <v>0</v>
      </c>
      <c r="I546" s="40" t="s">
        <v>772</v>
      </c>
      <c r="J546" s="41">
        <v>106.425</v>
      </c>
      <c r="K546" s="42" t="s">
        <v>783</v>
      </c>
      <c r="L546" s="39" t="s">
        <v>20</v>
      </c>
      <c r="M546" s="38">
        <f t="shared" si="8"/>
        <v>50</v>
      </c>
    </row>
    <row r="547" customHeight="1" spans="1:13">
      <c r="A547" s="39">
        <v>546</v>
      </c>
      <c r="B547" s="39">
        <v>0</v>
      </c>
      <c r="C547" s="39">
        <v>1</v>
      </c>
      <c r="D547" s="40" t="s">
        <v>784</v>
      </c>
      <c r="E547" s="40" t="s">
        <v>13</v>
      </c>
      <c r="F547" s="39">
        <v>64</v>
      </c>
      <c r="G547" s="39">
        <v>0</v>
      </c>
      <c r="H547" s="39">
        <v>0</v>
      </c>
      <c r="I547" s="40">
        <v>693</v>
      </c>
      <c r="J547" s="41">
        <v>26</v>
      </c>
      <c r="L547" s="39" t="s">
        <v>15</v>
      </c>
      <c r="M547" s="38">
        <f t="shared" si="8"/>
        <v>64</v>
      </c>
    </row>
    <row r="548" customHeight="1" spans="1:13">
      <c r="A548" s="39">
        <v>547</v>
      </c>
      <c r="B548" s="39">
        <v>1</v>
      </c>
      <c r="C548" s="39">
        <v>2</v>
      </c>
      <c r="D548" s="40" t="s">
        <v>785</v>
      </c>
      <c r="E548" s="40" t="s">
        <v>17</v>
      </c>
      <c r="F548" s="39">
        <v>19</v>
      </c>
      <c r="G548" s="39">
        <v>1</v>
      </c>
      <c r="H548" s="39">
        <v>0</v>
      </c>
      <c r="I548" s="40">
        <v>2908</v>
      </c>
      <c r="J548" s="41">
        <v>26</v>
      </c>
      <c r="L548" s="39" t="s">
        <v>15</v>
      </c>
      <c r="M548" s="38">
        <f t="shared" si="8"/>
        <v>19</v>
      </c>
    </row>
    <row r="549" customHeight="1" spans="1:13">
      <c r="A549" s="39">
        <v>548</v>
      </c>
      <c r="B549" s="39">
        <v>1</v>
      </c>
      <c r="C549" s="39">
        <v>2</v>
      </c>
      <c r="D549" s="40" t="s">
        <v>786</v>
      </c>
      <c r="E549" s="40" t="s">
        <v>13</v>
      </c>
      <c r="G549" s="39">
        <v>0</v>
      </c>
      <c r="H549" s="39">
        <v>0</v>
      </c>
      <c r="I549" s="40" t="s">
        <v>787</v>
      </c>
      <c r="J549" s="41">
        <v>13.8625</v>
      </c>
      <c r="L549" s="39" t="s">
        <v>20</v>
      </c>
      <c r="M549" s="38">
        <f t="shared" si="8"/>
        <v>29.6991176470588</v>
      </c>
    </row>
    <row r="550" customHeight="1" spans="1:13">
      <c r="A550" s="39">
        <v>549</v>
      </c>
      <c r="B550" s="39">
        <v>0</v>
      </c>
      <c r="C550" s="39">
        <v>3</v>
      </c>
      <c r="D550" s="40" t="s">
        <v>788</v>
      </c>
      <c r="E550" s="40" t="s">
        <v>13</v>
      </c>
      <c r="F550" s="39">
        <v>33</v>
      </c>
      <c r="G550" s="39">
        <v>1</v>
      </c>
      <c r="H550" s="39">
        <v>1</v>
      </c>
      <c r="I550" s="40">
        <v>363291</v>
      </c>
      <c r="J550" s="41">
        <v>20.525</v>
      </c>
      <c r="L550" s="39" t="s">
        <v>15</v>
      </c>
      <c r="M550" s="38">
        <f t="shared" si="8"/>
        <v>33</v>
      </c>
    </row>
    <row r="551" customHeight="1" spans="1:13">
      <c r="A551" s="39">
        <v>550</v>
      </c>
      <c r="B551" s="39">
        <v>1</v>
      </c>
      <c r="C551" s="39">
        <v>2</v>
      </c>
      <c r="D551" s="40" t="s">
        <v>789</v>
      </c>
      <c r="E551" s="40" t="s">
        <v>13</v>
      </c>
      <c r="F551" s="39">
        <v>8</v>
      </c>
      <c r="G551" s="39">
        <v>1</v>
      </c>
      <c r="H551" s="39">
        <v>1</v>
      </c>
      <c r="I551" s="40" t="s">
        <v>228</v>
      </c>
      <c r="J551" s="41">
        <v>36.75</v>
      </c>
      <c r="L551" s="39" t="s">
        <v>15</v>
      </c>
      <c r="M551" s="38">
        <f t="shared" si="8"/>
        <v>8</v>
      </c>
    </row>
    <row r="552" customHeight="1" spans="1:13">
      <c r="A552" s="39">
        <v>551</v>
      </c>
      <c r="B552" s="39">
        <v>1</v>
      </c>
      <c r="C552" s="39">
        <v>1</v>
      </c>
      <c r="D552" s="40" t="s">
        <v>790</v>
      </c>
      <c r="E552" s="40" t="s">
        <v>13</v>
      </c>
      <c r="F552" s="39">
        <v>17</v>
      </c>
      <c r="G552" s="39">
        <v>0</v>
      </c>
      <c r="H552" s="39">
        <v>2</v>
      </c>
      <c r="I552" s="40">
        <v>17421</v>
      </c>
      <c r="J552" s="41">
        <v>110.8833</v>
      </c>
      <c r="K552" s="42" t="s">
        <v>791</v>
      </c>
      <c r="L552" s="39" t="s">
        <v>20</v>
      </c>
      <c r="M552" s="38">
        <f t="shared" si="8"/>
        <v>17</v>
      </c>
    </row>
    <row r="553" customHeight="1" spans="1:13">
      <c r="A553" s="39">
        <v>552</v>
      </c>
      <c r="B553" s="39">
        <v>0</v>
      </c>
      <c r="C553" s="39">
        <v>2</v>
      </c>
      <c r="D553" s="40" t="s">
        <v>792</v>
      </c>
      <c r="E553" s="40" t="s">
        <v>13</v>
      </c>
      <c r="F553" s="39">
        <v>27</v>
      </c>
      <c r="G553" s="39">
        <v>0</v>
      </c>
      <c r="H553" s="39">
        <v>0</v>
      </c>
      <c r="I553" s="40">
        <v>244358</v>
      </c>
      <c r="J553" s="41">
        <v>26</v>
      </c>
      <c r="L553" s="39" t="s">
        <v>15</v>
      </c>
      <c r="M553" s="38">
        <f t="shared" si="8"/>
        <v>27</v>
      </c>
    </row>
    <row r="554" customHeight="1" spans="1:13">
      <c r="A554" s="39">
        <v>553</v>
      </c>
      <c r="B554" s="39">
        <v>0</v>
      </c>
      <c r="C554" s="39">
        <v>3</v>
      </c>
      <c r="D554" s="40" t="s">
        <v>793</v>
      </c>
      <c r="E554" s="40" t="s">
        <v>13</v>
      </c>
      <c r="G554" s="39">
        <v>0</v>
      </c>
      <c r="H554" s="39">
        <v>0</v>
      </c>
      <c r="I554" s="40">
        <v>330979</v>
      </c>
      <c r="J554" s="41">
        <v>7.8292</v>
      </c>
      <c r="L554" s="39" t="s">
        <v>27</v>
      </c>
      <c r="M554" s="38">
        <f t="shared" si="8"/>
        <v>29.6991176470588</v>
      </c>
    </row>
    <row r="555" customHeight="1" spans="1:13">
      <c r="A555" s="39">
        <v>554</v>
      </c>
      <c r="B555" s="39">
        <v>1</v>
      </c>
      <c r="C555" s="39">
        <v>3</v>
      </c>
      <c r="D555" s="40" t="s">
        <v>794</v>
      </c>
      <c r="E555" s="40" t="s">
        <v>13</v>
      </c>
      <c r="F555" s="39">
        <v>22</v>
      </c>
      <c r="G555" s="39">
        <v>0</v>
      </c>
      <c r="H555" s="39">
        <v>0</v>
      </c>
      <c r="I555" s="40">
        <v>2620</v>
      </c>
      <c r="J555" s="41">
        <v>7.225</v>
      </c>
      <c r="L555" s="39" t="s">
        <v>20</v>
      </c>
      <c r="M555" s="38">
        <f t="shared" si="8"/>
        <v>22</v>
      </c>
    </row>
    <row r="556" customHeight="1" spans="1:13">
      <c r="A556" s="39">
        <v>555</v>
      </c>
      <c r="B556" s="39">
        <v>1</v>
      </c>
      <c r="C556" s="39">
        <v>3</v>
      </c>
      <c r="D556" s="40" t="s">
        <v>795</v>
      </c>
      <c r="E556" s="40" t="s">
        <v>17</v>
      </c>
      <c r="F556" s="39">
        <v>22</v>
      </c>
      <c r="G556" s="39">
        <v>0</v>
      </c>
      <c r="H556" s="39">
        <v>0</v>
      </c>
      <c r="I556" s="40">
        <v>347085</v>
      </c>
      <c r="J556" s="41">
        <v>7.775</v>
      </c>
      <c r="L556" s="39" t="s">
        <v>15</v>
      </c>
      <c r="M556" s="38">
        <f t="shared" si="8"/>
        <v>22</v>
      </c>
    </row>
    <row r="557" customHeight="1" spans="1:13">
      <c r="A557" s="39">
        <v>556</v>
      </c>
      <c r="B557" s="39">
        <v>0</v>
      </c>
      <c r="C557" s="39">
        <v>1</v>
      </c>
      <c r="D557" s="40" t="s">
        <v>796</v>
      </c>
      <c r="E557" s="40" t="s">
        <v>13</v>
      </c>
      <c r="F557" s="39">
        <v>62</v>
      </c>
      <c r="G557" s="39">
        <v>0</v>
      </c>
      <c r="H557" s="39">
        <v>0</v>
      </c>
      <c r="I557" s="40">
        <v>113807</v>
      </c>
      <c r="J557" s="41">
        <v>26.55</v>
      </c>
      <c r="L557" s="39" t="s">
        <v>15</v>
      </c>
      <c r="M557" s="38">
        <f t="shared" si="8"/>
        <v>62</v>
      </c>
    </row>
    <row r="558" customHeight="1" spans="1:13">
      <c r="A558" s="39">
        <v>557</v>
      </c>
      <c r="B558" s="39">
        <v>1</v>
      </c>
      <c r="C558" s="39">
        <v>1</v>
      </c>
      <c r="D558" s="40" t="s">
        <v>797</v>
      </c>
      <c r="E558" s="40" t="s">
        <v>17</v>
      </c>
      <c r="F558" s="39">
        <v>48</v>
      </c>
      <c r="G558" s="39">
        <v>1</v>
      </c>
      <c r="H558" s="39">
        <v>0</v>
      </c>
      <c r="I558" s="40">
        <v>11755</v>
      </c>
      <c r="J558" s="41">
        <v>39.6</v>
      </c>
      <c r="K558" s="42" t="s">
        <v>798</v>
      </c>
      <c r="L558" s="39" t="s">
        <v>20</v>
      </c>
      <c r="M558" s="38">
        <f t="shared" si="8"/>
        <v>48</v>
      </c>
    </row>
    <row r="559" customHeight="1" spans="1:13">
      <c r="A559" s="39">
        <v>558</v>
      </c>
      <c r="B559" s="39">
        <v>0</v>
      </c>
      <c r="C559" s="39">
        <v>1</v>
      </c>
      <c r="D559" s="40" t="s">
        <v>799</v>
      </c>
      <c r="E559" s="40" t="s">
        <v>13</v>
      </c>
      <c r="G559" s="39">
        <v>0</v>
      </c>
      <c r="H559" s="39">
        <v>0</v>
      </c>
      <c r="I559" s="40" t="s">
        <v>565</v>
      </c>
      <c r="J559" s="41">
        <v>227.525</v>
      </c>
      <c r="L559" s="39" t="s">
        <v>20</v>
      </c>
      <c r="M559" s="38">
        <f t="shared" si="8"/>
        <v>29.6991176470588</v>
      </c>
    </row>
    <row r="560" customHeight="1" spans="1:13">
      <c r="A560" s="39">
        <v>559</v>
      </c>
      <c r="B560" s="39">
        <v>1</v>
      </c>
      <c r="C560" s="39">
        <v>1</v>
      </c>
      <c r="D560" s="40" t="s">
        <v>800</v>
      </c>
      <c r="E560" s="40" t="s">
        <v>17</v>
      </c>
      <c r="F560" s="39">
        <v>39</v>
      </c>
      <c r="G560" s="39">
        <v>1</v>
      </c>
      <c r="H560" s="39">
        <v>1</v>
      </c>
      <c r="I560" s="40">
        <v>110413</v>
      </c>
      <c r="J560" s="41">
        <v>79.65</v>
      </c>
      <c r="K560" s="42" t="s">
        <v>397</v>
      </c>
      <c r="L560" s="39" t="s">
        <v>15</v>
      </c>
      <c r="M560" s="38">
        <f t="shared" si="8"/>
        <v>39</v>
      </c>
    </row>
    <row r="561" customHeight="1" spans="1:13">
      <c r="A561" s="39">
        <v>560</v>
      </c>
      <c r="B561" s="39">
        <v>1</v>
      </c>
      <c r="C561" s="39">
        <v>3</v>
      </c>
      <c r="D561" s="40" t="s">
        <v>801</v>
      </c>
      <c r="E561" s="40" t="s">
        <v>17</v>
      </c>
      <c r="F561" s="39">
        <v>36</v>
      </c>
      <c r="G561" s="39">
        <v>1</v>
      </c>
      <c r="H561" s="39">
        <v>0</v>
      </c>
      <c r="I561" s="40">
        <v>345572</v>
      </c>
      <c r="J561" s="41">
        <v>17.4</v>
      </c>
      <c r="L561" s="39" t="s">
        <v>15</v>
      </c>
      <c r="M561" s="38">
        <f t="shared" si="8"/>
        <v>36</v>
      </c>
    </row>
    <row r="562" customHeight="1" spans="1:13">
      <c r="A562" s="39">
        <v>561</v>
      </c>
      <c r="B562" s="39">
        <v>0</v>
      </c>
      <c r="C562" s="39">
        <v>3</v>
      </c>
      <c r="D562" s="40" t="s">
        <v>802</v>
      </c>
      <c r="E562" s="40" t="s">
        <v>13</v>
      </c>
      <c r="G562" s="39">
        <v>0</v>
      </c>
      <c r="H562" s="39">
        <v>0</v>
      </c>
      <c r="I562" s="40">
        <v>372622</v>
      </c>
      <c r="J562" s="41">
        <v>7.75</v>
      </c>
      <c r="L562" s="39" t="s">
        <v>27</v>
      </c>
      <c r="M562" s="38">
        <f t="shared" si="8"/>
        <v>29.6991176470588</v>
      </c>
    </row>
    <row r="563" customHeight="1" spans="1:13">
      <c r="A563" s="39">
        <v>562</v>
      </c>
      <c r="B563" s="39">
        <v>0</v>
      </c>
      <c r="C563" s="39">
        <v>3</v>
      </c>
      <c r="D563" s="40" t="s">
        <v>803</v>
      </c>
      <c r="E563" s="40" t="s">
        <v>13</v>
      </c>
      <c r="F563" s="39">
        <v>40</v>
      </c>
      <c r="G563" s="39">
        <v>0</v>
      </c>
      <c r="H563" s="39">
        <v>0</v>
      </c>
      <c r="I563" s="40">
        <v>349251</v>
      </c>
      <c r="J563" s="41">
        <v>7.8958</v>
      </c>
      <c r="L563" s="39" t="s">
        <v>15</v>
      </c>
      <c r="M563" s="38">
        <f t="shared" si="8"/>
        <v>40</v>
      </c>
    </row>
    <row r="564" customHeight="1" spans="1:13">
      <c r="A564" s="39">
        <v>563</v>
      </c>
      <c r="B564" s="39">
        <v>0</v>
      </c>
      <c r="C564" s="39">
        <v>2</v>
      </c>
      <c r="D564" s="40" t="s">
        <v>804</v>
      </c>
      <c r="E564" s="40" t="s">
        <v>13</v>
      </c>
      <c r="F564" s="39">
        <v>28</v>
      </c>
      <c r="G564" s="39">
        <v>0</v>
      </c>
      <c r="H564" s="39">
        <v>0</v>
      </c>
      <c r="I564" s="40">
        <v>218629</v>
      </c>
      <c r="J564" s="41">
        <v>13.5</v>
      </c>
      <c r="L564" s="39" t="s">
        <v>15</v>
      </c>
      <c r="M564" s="38">
        <f t="shared" si="8"/>
        <v>28</v>
      </c>
    </row>
    <row r="565" customHeight="1" spans="1:13">
      <c r="A565" s="39">
        <v>564</v>
      </c>
      <c r="B565" s="39">
        <v>0</v>
      </c>
      <c r="C565" s="39">
        <v>3</v>
      </c>
      <c r="D565" s="40" t="s">
        <v>805</v>
      </c>
      <c r="E565" s="40" t="s">
        <v>13</v>
      </c>
      <c r="G565" s="39">
        <v>0</v>
      </c>
      <c r="H565" s="39">
        <v>0</v>
      </c>
      <c r="I565" s="40" t="s">
        <v>806</v>
      </c>
      <c r="J565" s="41">
        <v>8.05</v>
      </c>
      <c r="L565" s="39" t="s">
        <v>15</v>
      </c>
      <c r="M565" s="38">
        <f t="shared" si="8"/>
        <v>29.6991176470588</v>
      </c>
    </row>
    <row r="566" customHeight="1" spans="1:13">
      <c r="A566" s="39">
        <v>565</v>
      </c>
      <c r="B566" s="39">
        <v>0</v>
      </c>
      <c r="C566" s="39">
        <v>3</v>
      </c>
      <c r="D566" s="40" t="s">
        <v>807</v>
      </c>
      <c r="E566" s="40" t="s">
        <v>17</v>
      </c>
      <c r="G566" s="39">
        <v>0</v>
      </c>
      <c r="H566" s="39">
        <v>0</v>
      </c>
      <c r="I566" s="40" t="s">
        <v>808</v>
      </c>
      <c r="J566" s="41">
        <v>8.05</v>
      </c>
      <c r="L566" s="39" t="s">
        <v>15</v>
      </c>
      <c r="M566" s="38">
        <f t="shared" si="8"/>
        <v>29.6991176470588</v>
      </c>
    </row>
    <row r="567" customHeight="1" spans="1:13">
      <c r="A567" s="39">
        <v>566</v>
      </c>
      <c r="B567" s="39">
        <v>0</v>
      </c>
      <c r="C567" s="39">
        <v>3</v>
      </c>
      <c r="D567" s="40" t="s">
        <v>809</v>
      </c>
      <c r="E567" s="40" t="s">
        <v>13</v>
      </c>
      <c r="F567" s="39">
        <v>24</v>
      </c>
      <c r="G567" s="39">
        <v>2</v>
      </c>
      <c r="H567" s="39">
        <v>0</v>
      </c>
      <c r="I567" s="40" t="s">
        <v>810</v>
      </c>
      <c r="J567" s="41">
        <v>24.15</v>
      </c>
      <c r="L567" s="39" t="s">
        <v>15</v>
      </c>
      <c r="M567" s="38">
        <f t="shared" si="8"/>
        <v>24</v>
      </c>
    </row>
    <row r="568" customHeight="1" spans="1:13">
      <c r="A568" s="39">
        <v>567</v>
      </c>
      <c r="B568" s="39">
        <v>0</v>
      </c>
      <c r="C568" s="39">
        <v>3</v>
      </c>
      <c r="D568" s="40" t="s">
        <v>811</v>
      </c>
      <c r="E568" s="40" t="s">
        <v>13</v>
      </c>
      <c r="F568" s="39">
        <v>19</v>
      </c>
      <c r="G568" s="39">
        <v>0</v>
      </c>
      <c r="H568" s="39">
        <v>0</v>
      </c>
      <c r="I568" s="40">
        <v>349205</v>
      </c>
      <c r="J568" s="41">
        <v>7.8958</v>
      </c>
      <c r="L568" s="39" t="s">
        <v>15</v>
      </c>
      <c r="M568" s="38">
        <f t="shared" si="8"/>
        <v>19</v>
      </c>
    </row>
    <row r="569" customHeight="1" spans="1:13">
      <c r="A569" s="39">
        <v>568</v>
      </c>
      <c r="B569" s="39">
        <v>0</v>
      </c>
      <c r="C569" s="39">
        <v>3</v>
      </c>
      <c r="D569" s="40" t="s">
        <v>812</v>
      </c>
      <c r="E569" s="40" t="s">
        <v>17</v>
      </c>
      <c r="F569" s="39">
        <v>29</v>
      </c>
      <c r="G569" s="39">
        <v>0</v>
      </c>
      <c r="H569" s="39">
        <v>4</v>
      </c>
      <c r="I569" s="40">
        <v>349909</v>
      </c>
      <c r="J569" s="41">
        <v>21.075</v>
      </c>
      <c r="L569" s="39" t="s">
        <v>15</v>
      </c>
      <c r="M569" s="38">
        <f t="shared" si="8"/>
        <v>29</v>
      </c>
    </row>
    <row r="570" customHeight="1" spans="1:13">
      <c r="A570" s="39">
        <v>569</v>
      </c>
      <c r="B570" s="39">
        <v>0</v>
      </c>
      <c r="C570" s="39">
        <v>3</v>
      </c>
      <c r="D570" s="40" t="s">
        <v>813</v>
      </c>
      <c r="E570" s="40" t="s">
        <v>13</v>
      </c>
      <c r="G570" s="39">
        <v>0</v>
      </c>
      <c r="H570" s="39">
        <v>0</v>
      </c>
      <c r="I570" s="40">
        <v>2686</v>
      </c>
      <c r="J570" s="41">
        <v>7.2292</v>
      </c>
      <c r="L570" s="39" t="s">
        <v>20</v>
      </c>
      <c r="M570" s="38">
        <f t="shared" si="8"/>
        <v>29.6991176470588</v>
      </c>
    </row>
    <row r="571" customHeight="1" spans="1:13">
      <c r="A571" s="39">
        <v>570</v>
      </c>
      <c r="B571" s="39">
        <v>1</v>
      </c>
      <c r="C571" s="39">
        <v>3</v>
      </c>
      <c r="D571" s="40" t="s">
        <v>814</v>
      </c>
      <c r="E571" s="40" t="s">
        <v>13</v>
      </c>
      <c r="F571" s="39">
        <v>32</v>
      </c>
      <c r="G571" s="39">
        <v>0</v>
      </c>
      <c r="H571" s="39">
        <v>0</v>
      </c>
      <c r="I571" s="40">
        <v>350417</v>
      </c>
      <c r="J571" s="41">
        <v>7.8542</v>
      </c>
      <c r="L571" s="39" t="s">
        <v>15</v>
      </c>
      <c r="M571" s="38">
        <f t="shared" si="8"/>
        <v>32</v>
      </c>
    </row>
    <row r="572" customHeight="1" spans="1:13">
      <c r="A572" s="39">
        <v>571</v>
      </c>
      <c r="B572" s="39">
        <v>1</v>
      </c>
      <c r="C572" s="39">
        <v>2</v>
      </c>
      <c r="D572" s="40" t="s">
        <v>815</v>
      </c>
      <c r="E572" s="40" t="s">
        <v>13</v>
      </c>
      <c r="F572" s="39">
        <v>62</v>
      </c>
      <c r="G572" s="39">
        <v>0</v>
      </c>
      <c r="H572" s="39">
        <v>0</v>
      </c>
      <c r="I572" s="40" t="s">
        <v>816</v>
      </c>
      <c r="J572" s="41">
        <v>10.5</v>
      </c>
      <c r="L572" s="39" t="s">
        <v>15</v>
      </c>
      <c r="M572" s="38">
        <f t="shared" si="8"/>
        <v>62</v>
      </c>
    </row>
    <row r="573" customHeight="1" spans="1:13">
      <c r="A573" s="39">
        <v>572</v>
      </c>
      <c r="B573" s="39">
        <v>1</v>
      </c>
      <c r="C573" s="39">
        <v>1</v>
      </c>
      <c r="D573" s="40" t="s">
        <v>817</v>
      </c>
      <c r="E573" s="40" t="s">
        <v>17</v>
      </c>
      <c r="F573" s="39">
        <v>53</v>
      </c>
      <c r="G573" s="39">
        <v>2</v>
      </c>
      <c r="H573" s="39">
        <v>0</v>
      </c>
      <c r="I573" s="40">
        <v>11769</v>
      </c>
      <c r="J573" s="41">
        <v>51.4792</v>
      </c>
      <c r="K573" s="42" t="s">
        <v>818</v>
      </c>
      <c r="L573" s="39" t="s">
        <v>15</v>
      </c>
      <c r="M573" s="38">
        <f t="shared" si="8"/>
        <v>53</v>
      </c>
    </row>
    <row r="574" customHeight="1" spans="1:13">
      <c r="A574" s="39">
        <v>573</v>
      </c>
      <c r="B574" s="39">
        <v>1</v>
      </c>
      <c r="C574" s="39">
        <v>1</v>
      </c>
      <c r="D574" s="40" t="s">
        <v>819</v>
      </c>
      <c r="E574" s="40" t="s">
        <v>13</v>
      </c>
      <c r="F574" s="39">
        <v>36</v>
      </c>
      <c r="G574" s="39">
        <v>0</v>
      </c>
      <c r="H574" s="39">
        <v>0</v>
      </c>
      <c r="I574" s="40" t="s">
        <v>820</v>
      </c>
      <c r="J574" s="41">
        <v>26.3875</v>
      </c>
      <c r="K574" s="42" t="s">
        <v>738</v>
      </c>
      <c r="L574" s="39" t="s">
        <v>15</v>
      </c>
      <c r="M574" s="38">
        <f t="shared" si="8"/>
        <v>36</v>
      </c>
    </row>
    <row r="575" customHeight="1" spans="1:13">
      <c r="A575" s="39">
        <v>574</v>
      </c>
      <c r="B575" s="39">
        <v>1</v>
      </c>
      <c r="C575" s="39">
        <v>3</v>
      </c>
      <c r="D575" s="40" t="s">
        <v>821</v>
      </c>
      <c r="E575" s="40" t="s">
        <v>17</v>
      </c>
      <c r="G575" s="39">
        <v>0</v>
      </c>
      <c r="H575" s="39">
        <v>0</v>
      </c>
      <c r="I575" s="40">
        <v>14312</v>
      </c>
      <c r="J575" s="41">
        <v>7.75</v>
      </c>
      <c r="L575" s="39" t="s">
        <v>27</v>
      </c>
      <c r="M575" s="38">
        <f t="shared" si="8"/>
        <v>29.6991176470588</v>
      </c>
    </row>
    <row r="576" customHeight="1" spans="1:13">
      <c r="A576" s="39">
        <v>575</v>
      </c>
      <c r="B576" s="39">
        <v>0</v>
      </c>
      <c r="C576" s="39">
        <v>3</v>
      </c>
      <c r="D576" s="40" t="s">
        <v>822</v>
      </c>
      <c r="E576" s="40" t="s">
        <v>13</v>
      </c>
      <c r="F576" s="39">
        <v>16</v>
      </c>
      <c r="G576" s="39">
        <v>0</v>
      </c>
      <c r="H576" s="39">
        <v>0</v>
      </c>
      <c r="I576" s="40" t="s">
        <v>823</v>
      </c>
      <c r="J576" s="41">
        <v>8.05</v>
      </c>
      <c r="L576" s="39" t="s">
        <v>15</v>
      </c>
      <c r="M576" s="38">
        <f t="shared" si="8"/>
        <v>16</v>
      </c>
    </row>
    <row r="577" customHeight="1" spans="1:13">
      <c r="A577" s="39">
        <v>576</v>
      </c>
      <c r="B577" s="39">
        <v>0</v>
      </c>
      <c r="C577" s="39">
        <v>3</v>
      </c>
      <c r="D577" s="40" t="s">
        <v>824</v>
      </c>
      <c r="E577" s="40" t="s">
        <v>13</v>
      </c>
      <c r="F577" s="39">
        <v>19</v>
      </c>
      <c r="G577" s="39">
        <v>0</v>
      </c>
      <c r="H577" s="39">
        <v>0</v>
      </c>
      <c r="I577" s="40">
        <v>358585</v>
      </c>
      <c r="J577" s="41">
        <v>14.5</v>
      </c>
      <c r="L577" s="39" t="s">
        <v>15</v>
      </c>
      <c r="M577" s="38">
        <f t="shared" si="8"/>
        <v>19</v>
      </c>
    </row>
    <row r="578" customHeight="1" spans="1:13">
      <c r="A578" s="39">
        <v>577</v>
      </c>
      <c r="B578" s="39">
        <v>1</v>
      </c>
      <c r="C578" s="39">
        <v>2</v>
      </c>
      <c r="D578" s="40" t="s">
        <v>825</v>
      </c>
      <c r="E578" s="40" t="s">
        <v>17</v>
      </c>
      <c r="F578" s="39">
        <v>34</v>
      </c>
      <c r="G578" s="39">
        <v>0</v>
      </c>
      <c r="H578" s="39">
        <v>0</v>
      </c>
      <c r="I578" s="40">
        <v>243880</v>
      </c>
      <c r="J578" s="41">
        <v>13</v>
      </c>
      <c r="L578" s="39" t="s">
        <v>15</v>
      </c>
      <c r="M578" s="38">
        <f t="shared" ref="M578:M641" si="9">IF(F578="",AVERAGE($F$2:$F$892),F578)</f>
        <v>34</v>
      </c>
    </row>
    <row r="579" customHeight="1" spans="1:13">
      <c r="A579" s="39">
        <v>578</v>
      </c>
      <c r="B579" s="39">
        <v>1</v>
      </c>
      <c r="C579" s="39">
        <v>1</v>
      </c>
      <c r="D579" s="40" t="s">
        <v>826</v>
      </c>
      <c r="E579" s="40" t="s">
        <v>17</v>
      </c>
      <c r="F579" s="39">
        <v>39</v>
      </c>
      <c r="G579" s="39">
        <v>1</v>
      </c>
      <c r="H579" s="39">
        <v>0</v>
      </c>
      <c r="I579" s="40">
        <v>13507</v>
      </c>
      <c r="J579" s="41">
        <v>55.9</v>
      </c>
      <c r="K579" s="42" t="s">
        <v>631</v>
      </c>
      <c r="L579" s="39" t="s">
        <v>15</v>
      </c>
      <c r="M579" s="38">
        <f t="shared" si="9"/>
        <v>39</v>
      </c>
    </row>
    <row r="580" customHeight="1" spans="1:13">
      <c r="A580" s="39">
        <v>579</v>
      </c>
      <c r="B580" s="39">
        <v>0</v>
      </c>
      <c r="C580" s="39">
        <v>3</v>
      </c>
      <c r="D580" s="40" t="s">
        <v>827</v>
      </c>
      <c r="E580" s="40" t="s">
        <v>17</v>
      </c>
      <c r="G580" s="39">
        <v>1</v>
      </c>
      <c r="H580" s="39">
        <v>0</v>
      </c>
      <c r="I580" s="40">
        <v>2689</v>
      </c>
      <c r="J580" s="41">
        <v>14.4583</v>
      </c>
      <c r="L580" s="39" t="s">
        <v>20</v>
      </c>
      <c r="M580" s="38">
        <f t="shared" si="9"/>
        <v>29.6991176470588</v>
      </c>
    </row>
    <row r="581" customHeight="1" spans="1:13">
      <c r="A581" s="39">
        <v>580</v>
      </c>
      <c r="B581" s="39">
        <v>1</v>
      </c>
      <c r="C581" s="39">
        <v>3</v>
      </c>
      <c r="D581" s="40" t="s">
        <v>828</v>
      </c>
      <c r="E581" s="40" t="s">
        <v>13</v>
      </c>
      <c r="F581" s="39">
        <v>32</v>
      </c>
      <c r="G581" s="39">
        <v>0</v>
      </c>
      <c r="H581" s="39">
        <v>0</v>
      </c>
      <c r="I581" s="40" t="s">
        <v>829</v>
      </c>
      <c r="J581" s="41">
        <v>7.925</v>
      </c>
      <c r="L581" s="39" t="s">
        <v>15</v>
      </c>
      <c r="M581" s="38">
        <f t="shared" si="9"/>
        <v>32</v>
      </c>
    </row>
    <row r="582" customHeight="1" spans="1:13">
      <c r="A582" s="39">
        <v>581</v>
      </c>
      <c r="B582" s="39">
        <v>1</v>
      </c>
      <c r="C582" s="39">
        <v>2</v>
      </c>
      <c r="D582" s="40" t="s">
        <v>830</v>
      </c>
      <c r="E582" s="40" t="s">
        <v>17</v>
      </c>
      <c r="F582" s="39">
        <v>25</v>
      </c>
      <c r="G582" s="39">
        <v>1</v>
      </c>
      <c r="H582" s="39">
        <v>1</v>
      </c>
      <c r="I582" s="40">
        <v>237789</v>
      </c>
      <c r="J582" s="41">
        <v>30</v>
      </c>
      <c r="L582" s="39" t="s">
        <v>15</v>
      </c>
      <c r="M582" s="38">
        <f t="shared" si="9"/>
        <v>25</v>
      </c>
    </row>
    <row r="583" customHeight="1" spans="1:13">
      <c r="A583" s="39">
        <v>582</v>
      </c>
      <c r="B583" s="39">
        <v>1</v>
      </c>
      <c r="C583" s="39">
        <v>1</v>
      </c>
      <c r="D583" s="40" t="s">
        <v>831</v>
      </c>
      <c r="E583" s="40" t="s">
        <v>17</v>
      </c>
      <c r="F583" s="39">
        <v>39</v>
      </c>
      <c r="G583" s="39">
        <v>1</v>
      </c>
      <c r="H583" s="39">
        <v>1</v>
      </c>
      <c r="I583" s="40">
        <v>17421</v>
      </c>
      <c r="J583" s="41">
        <v>110.8833</v>
      </c>
      <c r="K583" s="42" t="s">
        <v>832</v>
      </c>
      <c r="L583" s="39" t="s">
        <v>20</v>
      </c>
      <c r="M583" s="38">
        <f t="shared" si="9"/>
        <v>39</v>
      </c>
    </row>
    <row r="584" customHeight="1" spans="1:13">
      <c r="A584" s="39">
        <v>583</v>
      </c>
      <c r="B584" s="39">
        <v>0</v>
      </c>
      <c r="C584" s="39">
        <v>2</v>
      </c>
      <c r="D584" s="40" t="s">
        <v>833</v>
      </c>
      <c r="E584" s="40" t="s">
        <v>13</v>
      </c>
      <c r="F584" s="39">
        <v>54</v>
      </c>
      <c r="G584" s="39">
        <v>0</v>
      </c>
      <c r="H584" s="39">
        <v>0</v>
      </c>
      <c r="I584" s="40">
        <v>28403</v>
      </c>
      <c r="J584" s="41">
        <v>26</v>
      </c>
      <c r="L584" s="39" t="s">
        <v>15</v>
      </c>
      <c r="M584" s="38">
        <f t="shared" si="9"/>
        <v>54</v>
      </c>
    </row>
    <row r="585" customHeight="1" spans="1:13">
      <c r="A585" s="39">
        <v>584</v>
      </c>
      <c r="B585" s="39">
        <v>0</v>
      </c>
      <c r="C585" s="39">
        <v>1</v>
      </c>
      <c r="D585" s="40" t="s">
        <v>834</v>
      </c>
      <c r="E585" s="40" t="s">
        <v>13</v>
      </c>
      <c r="F585" s="39">
        <v>36</v>
      </c>
      <c r="G585" s="39">
        <v>0</v>
      </c>
      <c r="H585" s="39">
        <v>0</v>
      </c>
      <c r="I585" s="40">
        <v>13049</v>
      </c>
      <c r="J585" s="41">
        <v>40.125</v>
      </c>
      <c r="K585" s="42" t="s">
        <v>835</v>
      </c>
      <c r="L585" s="39" t="s">
        <v>20</v>
      </c>
      <c r="M585" s="38">
        <f t="shared" si="9"/>
        <v>36</v>
      </c>
    </row>
    <row r="586" customHeight="1" spans="1:13">
      <c r="A586" s="39">
        <v>585</v>
      </c>
      <c r="B586" s="39">
        <v>0</v>
      </c>
      <c r="C586" s="39">
        <v>3</v>
      </c>
      <c r="D586" s="40" t="s">
        <v>836</v>
      </c>
      <c r="E586" s="40" t="s">
        <v>13</v>
      </c>
      <c r="G586" s="39">
        <v>0</v>
      </c>
      <c r="H586" s="39">
        <v>0</v>
      </c>
      <c r="I586" s="40">
        <v>3411</v>
      </c>
      <c r="J586" s="41">
        <v>8.7125</v>
      </c>
      <c r="L586" s="39" t="s">
        <v>20</v>
      </c>
      <c r="M586" s="38">
        <f t="shared" si="9"/>
        <v>29.6991176470588</v>
      </c>
    </row>
    <row r="587" customHeight="1" spans="1:13">
      <c r="A587" s="39">
        <v>586</v>
      </c>
      <c r="B587" s="39">
        <v>1</v>
      </c>
      <c r="C587" s="39">
        <v>1</v>
      </c>
      <c r="D587" s="40" t="s">
        <v>837</v>
      </c>
      <c r="E587" s="40" t="s">
        <v>17</v>
      </c>
      <c r="F587" s="39">
        <v>18</v>
      </c>
      <c r="G587" s="39">
        <v>0</v>
      </c>
      <c r="H587" s="39">
        <v>2</v>
      </c>
      <c r="I587" s="40">
        <v>110413</v>
      </c>
      <c r="J587" s="41">
        <v>79.65</v>
      </c>
      <c r="K587" s="42" t="s">
        <v>838</v>
      </c>
      <c r="L587" s="39" t="s">
        <v>15</v>
      </c>
      <c r="M587" s="38">
        <f t="shared" si="9"/>
        <v>18</v>
      </c>
    </row>
    <row r="588" customHeight="1" spans="1:13">
      <c r="A588" s="39">
        <v>587</v>
      </c>
      <c r="B588" s="39">
        <v>0</v>
      </c>
      <c r="C588" s="39">
        <v>2</v>
      </c>
      <c r="D588" s="40" t="s">
        <v>839</v>
      </c>
      <c r="E588" s="40" t="s">
        <v>13</v>
      </c>
      <c r="F588" s="39">
        <v>47</v>
      </c>
      <c r="G588" s="39">
        <v>0</v>
      </c>
      <c r="H588" s="39">
        <v>0</v>
      </c>
      <c r="I588" s="40">
        <v>237565</v>
      </c>
      <c r="J588" s="41">
        <v>15</v>
      </c>
      <c r="L588" s="39" t="s">
        <v>15</v>
      </c>
      <c r="M588" s="38">
        <f t="shared" si="9"/>
        <v>47</v>
      </c>
    </row>
    <row r="589" customHeight="1" spans="1:13">
      <c r="A589" s="39">
        <v>588</v>
      </c>
      <c r="B589" s="39">
        <v>1</v>
      </c>
      <c r="C589" s="39">
        <v>1</v>
      </c>
      <c r="D589" s="40" t="s">
        <v>840</v>
      </c>
      <c r="E589" s="40" t="s">
        <v>13</v>
      </c>
      <c r="F589" s="39">
        <v>60</v>
      </c>
      <c r="G589" s="39">
        <v>1</v>
      </c>
      <c r="H589" s="39">
        <v>1</v>
      </c>
      <c r="I589" s="40">
        <v>13567</v>
      </c>
      <c r="J589" s="41">
        <v>79.2</v>
      </c>
      <c r="K589" s="42" t="s">
        <v>841</v>
      </c>
      <c r="L589" s="39" t="s">
        <v>20</v>
      </c>
      <c r="M589" s="38">
        <f t="shared" si="9"/>
        <v>60</v>
      </c>
    </row>
    <row r="590" customHeight="1" spans="1:13">
      <c r="A590" s="39">
        <v>589</v>
      </c>
      <c r="B590" s="39">
        <v>0</v>
      </c>
      <c r="C590" s="39">
        <v>3</v>
      </c>
      <c r="D590" s="40" t="s">
        <v>842</v>
      </c>
      <c r="E590" s="40" t="s">
        <v>13</v>
      </c>
      <c r="F590" s="39">
        <v>22</v>
      </c>
      <c r="G590" s="39">
        <v>0</v>
      </c>
      <c r="H590" s="39">
        <v>0</v>
      </c>
      <c r="I590" s="40">
        <v>14973</v>
      </c>
      <c r="J590" s="41">
        <v>8.05</v>
      </c>
      <c r="L590" s="39" t="s">
        <v>15</v>
      </c>
      <c r="M590" s="38">
        <f t="shared" si="9"/>
        <v>22</v>
      </c>
    </row>
    <row r="591" customHeight="1" spans="1:13">
      <c r="A591" s="39">
        <v>590</v>
      </c>
      <c r="B591" s="39">
        <v>0</v>
      </c>
      <c r="C591" s="39">
        <v>3</v>
      </c>
      <c r="D591" s="40" t="s">
        <v>843</v>
      </c>
      <c r="E591" s="40" t="s">
        <v>13</v>
      </c>
      <c r="G591" s="39">
        <v>0</v>
      </c>
      <c r="H591" s="39">
        <v>0</v>
      </c>
      <c r="I591" s="40" t="s">
        <v>844</v>
      </c>
      <c r="J591" s="41">
        <v>8.05</v>
      </c>
      <c r="L591" s="39" t="s">
        <v>15</v>
      </c>
      <c r="M591" s="38">
        <f t="shared" si="9"/>
        <v>29.6991176470588</v>
      </c>
    </row>
    <row r="592" customHeight="1" spans="1:13">
      <c r="A592" s="39">
        <v>591</v>
      </c>
      <c r="B592" s="39">
        <v>0</v>
      </c>
      <c r="C592" s="39">
        <v>3</v>
      </c>
      <c r="D592" s="40" t="s">
        <v>845</v>
      </c>
      <c r="E592" s="40" t="s">
        <v>13</v>
      </c>
      <c r="F592" s="39">
        <v>35</v>
      </c>
      <c r="G592" s="39">
        <v>0</v>
      </c>
      <c r="H592" s="39">
        <v>0</v>
      </c>
      <c r="I592" s="40" t="s">
        <v>846</v>
      </c>
      <c r="J592" s="41">
        <v>7.125</v>
      </c>
      <c r="L592" s="39" t="s">
        <v>15</v>
      </c>
      <c r="M592" s="38">
        <f t="shared" si="9"/>
        <v>35</v>
      </c>
    </row>
    <row r="593" customHeight="1" spans="1:13">
      <c r="A593" s="39">
        <v>592</v>
      </c>
      <c r="B593" s="39">
        <v>1</v>
      </c>
      <c r="C593" s="39">
        <v>1</v>
      </c>
      <c r="D593" s="40" t="s">
        <v>847</v>
      </c>
      <c r="E593" s="40" t="s">
        <v>17</v>
      </c>
      <c r="F593" s="39">
        <v>52</v>
      </c>
      <c r="G593" s="39">
        <v>1</v>
      </c>
      <c r="H593" s="39">
        <v>0</v>
      </c>
      <c r="I593" s="40">
        <v>36947</v>
      </c>
      <c r="J593" s="41">
        <v>78.2667</v>
      </c>
      <c r="K593" s="42" t="s">
        <v>716</v>
      </c>
      <c r="L593" s="39" t="s">
        <v>20</v>
      </c>
      <c r="M593" s="38">
        <f t="shared" si="9"/>
        <v>52</v>
      </c>
    </row>
    <row r="594" customHeight="1" spans="1:13">
      <c r="A594" s="39">
        <v>593</v>
      </c>
      <c r="B594" s="39">
        <v>0</v>
      </c>
      <c r="C594" s="39">
        <v>3</v>
      </c>
      <c r="D594" s="40" t="s">
        <v>848</v>
      </c>
      <c r="E594" s="40" t="s">
        <v>13</v>
      </c>
      <c r="F594" s="39">
        <v>47</v>
      </c>
      <c r="G594" s="39">
        <v>0</v>
      </c>
      <c r="H594" s="39">
        <v>0</v>
      </c>
      <c r="I594" s="40" t="s">
        <v>849</v>
      </c>
      <c r="J594" s="41">
        <v>7.25</v>
      </c>
      <c r="L594" s="39" t="s">
        <v>15</v>
      </c>
      <c r="M594" s="38">
        <f t="shared" si="9"/>
        <v>47</v>
      </c>
    </row>
    <row r="595" customHeight="1" spans="1:13">
      <c r="A595" s="39">
        <v>594</v>
      </c>
      <c r="B595" s="39">
        <v>0</v>
      </c>
      <c r="C595" s="39">
        <v>3</v>
      </c>
      <c r="D595" s="40" t="s">
        <v>850</v>
      </c>
      <c r="E595" s="40" t="s">
        <v>17</v>
      </c>
      <c r="G595" s="39">
        <v>0</v>
      </c>
      <c r="H595" s="39">
        <v>2</v>
      </c>
      <c r="I595" s="40">
        <v>364848</v>
      </c>
      <c r="J595" s="41">
        <v>7.75</v>
      </c>
      <c r="L595" s="39" t="s">
        <v>27</v>
      </c>
      <c r="M595" s="38">
        <f t="shared" si="9"/>
        <v>29.6991176470588</v>
      </c>
    </row>
    <row r="596" customHeight="1" spans="1:13">
      <c r="A596" s="39">
        <v>595</v>
      </c>
      <c r="B596" s="39">
        <v>0</v>
      </c>
      <c r="C596" s="39">
        <v>2</v>
      </c>
      <c r="D596" s="40" t="s">
        <v>851</v>
      </c>
      <c r="E596" s="40" t="s">
        <v>13</v>
      </c>
      <c r="F596" s="39">
        <v>37</v>
      </c>
      <c r="G596" s="39">
        <v>1</v>
      </c>
      <c r="H596" s="39">
        <v>0</v>
      </c>
      <c r="I596" s="40" t="s">
        <v>852</v>
      </c>
      <c r="J596" s="41">
        <v>26</v>
      </c>
      <c r="L596" s="39" t="s">
        <v>15</v>
      </c>
      <c r="M596" s="38">
        <f t="shared" si="9"/>
        <v>37</v>
      </c>
    </row>
    <row r="597" customHeight="1" spans="1:13">
      <c r="A597" s="39">
        <v>596</v>
      </c>
      <c r="B597" s="39">
        <v>0</v>
      </c>
      <c r="C597" s="39">
        <v>3</v>
      </c>
      <c r="D597" s="40" t="s">
        <v>853</v>
      </c>
      <c r="E597" s="40" t="s">
        <v>13</v>
      </c>
      <c r="F597" s="39">
        <v>36</v>
      </c>
      <c r="G597" s="39">
        <v>1</v>
      </c>
      <c r="H597" s="39">
        <v>1</v>
      </c>
      <c r="I597" s="40">
        <v>345773</v>
      </c>
      <c r="J597" s="41">
        <v>24.15</v>
      </c>
      <c r="L597" s="39" t="s">
        <v>15</v>
      </c>
      <c r="M597" s="38">
        <f t="shared" si="9"/>
        <v>36</v>
      </c>
    </row>
    <row r="598" customHeight="1" spans="1:13">
      <c r="A598" s="39">
        <v>597</v>
      </c>
      <c r="B598" s="39">
        <v>1</v>
      </c>
      <c r="C598" s="39">
        <v>2</v>
      </c>
      <c r="D598" s="40" t="s">
        <v>854</v>
      </c>
      <c r="E598" s="40" t="s">
        <v>17</v>
      </c>
      <c r="G598" s="39">
        <v>0</v>
      </c>
      <c r="H598" s="39">
        <v>0</v>
      </c>
      <c r="I598" s="40">
        <v>248727</v>
      </c>
      <c r="J598" s="41">
        <v>33</v>
      </c>
      <c r="L598" s="39" t="s">
        <v>15</v>
      </c>
      <c r="M598" s="38">
        <f t="shared" si="9"/>
        <v>29.6991176470588</v>
      </c>
    </row>
    <row r="599" customHeight="1" spans="1:13">
      <c r="A599" s="39">
        <v>598</v>
      </c>
      <c r="B599" s="39">
        <v>0</v>
      </c>
      <c r="C599" s="39">
        <v>3</v>
      </c>
      <c r="D599" s="40" t="s">
        <v>855</v>
      </c>
      <c r="E599" s="40" t="s">
        <v>13</v>
      </c>
      <c r="F599" s="39">
        <v>49</v>
      </c>
      <c r="G599" s="39">
        <v>0</v>
      </c>
      <c r="H599" s="39">
        <v>0</v>
      </c>
      <c r="I599" s="40" t="s">
        <v>280</v>
      </c>
      <c r="J599" s="41">
        <v>0</v>
      </c>
      <c r="L599" s="39" t="s">
        <v>15</v>
      </c>
      <c r="M599" s="38">
        <f t="shared" si="9"/>
        <v>49</v>
      </c>
    </row>
    <row r="600" customHeight="1" spans="1:13">
      <c r="A600" s="39">
        <v>599</v>
      </c>
      <c r="B600" s="39">
        <v>0</v>
      </c>
      <c r="C600" s="39">
        <v>3</v>
      </c>
      <c r="D600" s="40" t="s">
        <v>856</v>
      </c>
      <c r="E600" s="40" t="s">
        <v>13</v>
      </c>
      <c r="G600" s="39">
        <v>0</v>
      </c>
      <c r="H600" s="39">
        <v>0</v>
      </c>
      <c r="I600" s="40">
        <v>2664</v>
      </c>
      <c r="J600" s="41">
        <v>7.225</v>
      </c>
      <c r="L600" s="39" t="s">
        <v>20</v>
      </c>
      <c r="M600" s="38">
        <f t="shared" si="9"/>
        <v>29.6991176470588</v>
      </c>
    </row>
    <row r="601" customHeight="1" spans="1:13">
      <c r="A601" s="39">
        <v>600</v>
      </c>
      <c r="B601" s="39">
        <v>1</v>
      </c>
      <c r="C601" s="39">
        <v>1</v>
      </c>
      <c r="D601" s="40" t="s">
        <v>857</v>
      </c>
      <c r="E601" s="40" t="s">
        <v>13</v>
      </c>
      <c r="F601" s="39">
        <v>49</v>
      </c>
      <c r="G601" s="39">
        <v>1</v>
      </c>
      <c r="H601" s="39">
        <v>0</v>
      </c>
      <c r="I601" s="40" t="s">
        <v>467</v>
      </c>
      <c r="J601" s="41">
        <v>56.9292</v>
      </c>
      <c r="K601" s="42" t="s">
        <v>858</v>
      </c>
      <c r="L601" s="39" t="s">
        <v>20</v>
      </c>
      <c r="M601" s="38">
        <f t="shared" si="9"/>
        <v>49</v>
      </c>
    </row>
    <row r="602" customHeight="1" spans="1:13">
      <c r="A602" s="39">
        <v>601</v>
      </c>
      <c r="B602" s="39">
        <v>1</v>
      </c>
      <c r="C602" s="39">
        <v>2</v>
      </c>
      <c r="D602" s="40" t="s">
        <v>859</v>
      </c>
      <c r="E602" s="40" t="s">
        <v>17</v>
      </c>
      <c r="F602" s="39">
        <v>24</v>
      </c>
      <c r="G602" s="39">
        <v>2</v>
      </c>
      <c r="H602" s="39">
        <v>1</v>
      </c>
      <c r="I602" s="40">
        <v>243847</v>
      </c>
      <c r="J602" s="41">
        <v>27</v>
      </c>
      <c r="L602" s="39" t="s">
        <v>15</v>
      </c>
      <c r="M602" s="38">
        <f t="shared" si="9"/>
        <v>24</v>
      </c>
    </row>
    <row r="603" customHeight="1" spans="1:13">
      <c r="A603" s="39">
        <v>602</v>
      </c>
      <c r="B603" s="39">
        <v>0</v>
      </c>
      <c r="C603" s="39">
        <v>3</v>
      </c>
      <c r="D603" s="40" t="s">
        <v>860</v>
      </c>
      <c r="E603" s="40" t="s">
        <v>13</v>
      </c>
      <c r="G603" s="39">
        <v>0</v>
      </c>
      <c r="H603" s="39">
        <v>0</v>
      </c>
      <c r="I603" s="40">
        <v>349214</v>
      </c>
      <c r="J603" s="41">
        <v>7.8958</v>
      </c>
      <c r="L603" s="39" t="s">
        <v>15</v>
      </c>
      <c r="M603" s="38">
        <f t="shared" si="9"/>
        <v>29.6991176470588</v>
      </c>
    </row>
    <row r="604" customHeight="1" spans="1:13">
      <c r="A604" s="39">
        <v>603</v>
      </c>
      <c r="B604" s="39">
        <v>0</v>
      </c>
      <c r="C604" s="39">
        <v>1</v>
      </c>
      <c r="D604" s="40" t="s">
        <v>861</v>
      </c>
      <c r="E604" s="40" t="s">
        <v>13</v>
      </c>
      <c r="G604" s="39">
        <v>0</v>
      </c>
      <c r="H604" s="39">
        <v>0</v>
      </c>
      <c r="I604" s="40">
        <v>113796</v>
      </c>
      <c r="J604" s="41">
        <v>42.4</v>
      </c>
      <c r="L604" s="39" t="s">
        <v>15</v>
      </c>
      <c r="M604" s="38">
        <f t="shared" si="9"/>
        <v>29.6991176470588</v>
      </c>
    </row>
    <row r="605" customHeight="1" spans="1:13">
      <c r="A605" s="39">
        <v>604</v>
      </c>
      <c r="B605" s="39">
        <v>0</v>
      </c>
      <c r="C605" s="39">
        <v>3</v>
      </c>
      <c r="D605" s="40" t="s">
        <v>862</v>
      </c>
      <c r="E605" s="40" t="s">
        <v>13</v>
      </c>
      <c r="F605" s="39">
        <v>44</v>
      </c>
      <c r="G605" s="39">
        <v>0</v>
      </c>
      <c r="H605" s="39">
        <v>0</v>
      </c>
      <c r="I605" s="40">
        <v>364511</v>
      </c>
      <c r="J605" s="41">
        <v>8.05</v>
      </c>
      <c r="L605" s="39" t="s">
        <v>15</v>
      </c>
      <c r="M605" s="38">
        <f t="shared" si="9"/>
        <v>44</v>
      </c>
    </row>
    <row r="606" customHeight="1" spans="1:13">
      <c r="A606" s="39">
        <v>605</v>
      </c>
      <c r="B606" s="39">
        <v>1</v>
      </c>
      <c r="C606" s="39">
        <v>1</v>
      </c>
      <c r="D606" s="40" t="s">
        <v>863</v>
      </c>
      <c r="E606" s="40" t="s">
        <v>13</v>
      </c>
      <c r="F606" s="39">
        <v>35</v>
      </c>
      <c r="G606" s="39">
        <v>0</v>
      </c>
      <c r="H606" s="39">
        <v>0</v>
      </c>
      <c r="I606" s="40">
        <v>111426</v>
      </c>
      <c r="J606" s="41">
        <v>26.55</v>
      </c>
      <c r="L606" s="39" t="s">
        <v>20</v>
      </c>
      <c r="M606" s="38">
        <f t="shared" si="9"/>
        <v>35</v>
      </c>
    </row>
    <row r="607" customHeight="1" spans="1:13">
      <c r="A607" s="39">
        <v>606</v>
      </c>
      <c r="B607" s="39">
        <v>0</v>
      </c>
      <c r="C607" s="39">
        <v>3</v>
      </c>
      <c r="D607" s="40" t="s">
        <v>864</v>
      </c>
      <c r="E607" s="40" t="s">
        <v>13</v>
      </c>
      <c r="F607" s="39">
        <v>36</v>
      </c>
      <c r="G607" s="39">
        <v>1</v>
      </c>
      <c r="H607" s="39">
        <v>0</v>
      </c>
      <c r="I607" s="40">
        <v>349910</v>
      </c>
      <c r="J607" s="41">
        <v>15.55</v>
      </c>
      <c r="L607" s="39" t="s">
        <v>15</v>
      </c>
      <c r="M607" s="38">
        <f t="shared" si="9"/>
        <v>36</v>
      </c>
    </row>
    <row r="608" customHeight="1" spans="1:13">
      <c r="A608" s="39">
        <v>607</v>
      </c>
      <c r="B608" s="39">
        <v>0</v>
      </c>
      <c r="C608" s="39">
        <v>3</v>
      </c>
      <c r="D608" s="40" t="s">
        <v>865</v>
      </c>
      <c r="E608" s="40" t="s">
        <v>13</v>
      </c>
      <c r="F608" s="39">
        <v>30</v>
      </c>
      <c r="G608" s="39">
        <v>0</v>
      </c>
      <c r="H608" s="39">
        <v>0</v>
      </c>
      <c r="I608" s="40">
        <v>349246</v>
      </c>
      <c r="J608" s="41">
        <v>7.8958</v>
      </c>
      <c r="L608" s="39" t="s">
        <v>15</v>
      </c>
      <c r="M608" s="38">
        <f t="shared" si="9"/>
        <v>30</v>
      </c>
    </row>
    <row r="609" customHeight="1" spans="1:13">
      <c r="A609" s="39">
        <v>608</v>
      </c>
      <c r="B609" s="39">
        <v>1</v>
      </c>
      <c r="C609" s="39">
        <v>1</v>
      </c>
      <c r="D609" s="40" t="s">
        <v>866</v>
      </c>
      <c r="E609" s="40" t="s">
        <v>13</v>
      </c>
      <c r="F609" s="39">
        <v>27</v>
      </c>
      <c r="G609" s="39">
        <v>0</v>
      </c>
      <c r="H609" s="39">
        <v>0</v>
      </c>
      <c r="I609" s="40">
        <v>113804</v>
      </c>
      <c r="J609" s="41">
        <v>30.5</v>
      </c>
      <c r="L609" s="39" t="s">
        <v>15</v>
      </c>
      <c r="M609" s="38">
        <f t="shared" si="9"/>
        <v>27</v>
      </c>
    </row>
    <row r="610" customHeight="1" spans="1:13">
      <c r="A610" s="39">
        <v>609</v>
      </c>
      <c r="B610" s="39">
        <v>1</v>
      </c>
      <c r="C610" s="39">
        <v>2</v>
      </c>
      <c r="D610" s="40" t="s">
        <v>867</v>
      </c>
      <c r="E610" s="40" t="s">
        <v>17</v>
      </c>
      <c r="F610" s="39">
        <v>22</v>
      </c>
      <c r="G610" s="39">
        <v>1</v>
      </c>
      <c r="H610" s="39">
        <v>2</v>
      </c>
      <c r="I610" s="40" t="s">
        <v>80</v>
      </c>
      <c r="J610" s="41">
        <v>41.5792</v>
      </c>
      <c r="L610" s="39" t="s">
        <v>20</v>
      </c>
      <c r="M610" s="38">
        <f t="shared" si="9"/>
        <v>22</v>
      </c>
    </row>
    <row r="611" customHeight="1" spans="1:13">
      <c r="A611" s="39">
        <v>610</v>
      </c>
      <c r="B611" s="39">
        <v>1</v>
      </c>
      <c r="C611" s="39">
        <v>1</v>
      </c>
      <c r="D611" s="40" t="s">
        <v>868</v>
      </c>
      <c r="E611" s="40" t="s">
        <v>17</v>
      </c>
      <c r="F611" s="39">
        <v>40</v>
      </c>
      <c r="G611" s="39">
        <v>0</v>
      </c>
      <c r="H611" s="39">
        <v>0</v>
      </c>
      <c r="I611" s="40" t="s">
        <v>406</v>
      </c>
      <c r="J611" s="41">
        <v>153.4625</v>
      </c>
      <c r="K611" s="42" t="s">
        <v>407</v>
      </c>
      <c r="L611" s="39" t="s">
        <v>15</v>
      </c>
      <c r="M611" s="38">
        <f t="shared" si="9"/>
        <v>40</v>
      </c>
    </row>
    <row r="612" customHeight="1" spans="1:13">
      <c r="A612" s="39">
        <v>611</v>
      </c>
      <c r="B612" s="39">
        <v>0</v>
      </c>
      <c r="C612" s="39">
        <v>3</v>
      </c>
      <c r="D612" s="40" t="s">
        <v>869</v>
      </c>
      <c r="E612" s="40" t="s">
        <v>17</v>
      </c>
      <c r="F612" s="39">
        <v>39</v>
      </c>
      <c r="G612" s="39">
        <v>1</v>
      </c>
      <c r="H612" s="39">
        <v>5</v>
      </c>
      <c r="I612" s="40">
        <v>347082</v>
      </c>
      <c r="J612" s="41">
        <v>31.275</v>
      </c>
      <c r="L612" s="39" t="s">
        <v>15</v>
      </c>
      <c r="M612" s="38">
        <f t="shared" si="9"/>
        <v>39</v>
      </c>
    </row>
    <row r="613" customHeight="1" spans="1:13">
      <c r="A613" s="39">
        <v>612</v>
      </c>
      <c r="B613" s="39">
        <v>0</v>
      </c>
      <c r="C613" s="39">
        <v>3</v>
      </c>
      <c r="D613" s="40" t="s">
        <v>870</v>
      </c>
      <c r="E613" s="40" t="s">
        <v>13</v>
      </c>
      <c r="G613" s="39">
        <v>0</v>
      </c>
      <c r="H613" s="39">
        <v>0</v>
      </c>
      <c r="I613" s="40" t="s">
        <v>871</v>
      </c>
      <c r="J613" s="41">
        <v>7.05</v>
      </c>
      <c r="L613" s="39" t="s">
        <v>15</v>
      </c>
      <c r="M613" s="38">
        <f t="shared" si="9"/>
        <v>29.6991176470588</v>
      </c>
    </row>
    <row r="614" customHeight="1" spans="1:13">
      <c r="A614" s="39">
        <v>613</v>
      </c>
      <c r="B614" s="39">
        <v>1</v>
      </c>
      <c r="C614" s="39">
        <v>3</v>
      </c>
      <c r="D614" s="40" t="s">
        <v>872</v>
      </c>
      <c r="E614" s="40" t="s">
        <v>17</v>
      </c>
      <c r="G614" s="39">
        <v>1</v>
      </c>
      <c r="H614" s="39">
        <v>0</v>
      </c>
      <c r="I614" s="40">
        <v>367230</v>
      </c>
      <c r="J614" s="41">
        <v>15.5</v>
      </c>
      <c r="L614" s="39" t="s">
        <v>27</v>
      </c>
      <c r="M614" s="38">
        <f t="shared" si="9"/>
        <v>29.6991176470588</v>
      </c>
    </row>
    <row r="615" customHeight="1" spans="1:13">
      <c r="A615" s="39">
        <v>614</v>
      </c>
      <c r="B615" s="39">
        <v>0</v>
      </c>
      <c r="C615" s="39">
        <v>3</v>
      </c>
      <c r="D615" s="40" t="s">
        <v>873</v>
      </c>
      <c r="E615" s="40" t="s">
        <v>13</v>
      </c>
      <c r="G615" s="39">
        <v>0</v>
      </c>
      <c r="H615" s="39">
        <v>0</v>
      </c>
      <c r="I615" s="40">
        <v>370377</v>
      </c>
      <c r="J615" s="41">
        <v>7.75</v>
      </c>
      <c r="L615" s="39" t="s">
        <v>27</v>
      </c>
      <c r="M615" s="38">
        <f t="shared" si="9"/>
        <v>29.6991176470588</v>
      </c>
    </row>
    <row r="616" customHeight="1" spans="1:13">
      <c r="A616" s="39">
        <v>615</v>
      </c>
      <c r="B616" s="39">
        <v>0</v>
      </c>
      <c r="C616" s="39">
        <v>3</v>
      </c>
      <c r="D616" s="40" t="s">
        <v>874</v>
      </c>
      <c r="E616" s="40" t="s">
        <v>13</v>
      </c>
      <c r="F616" s="39">
        <v>35</v>
      </c>
      <c r="G616" s="39">
        <v>0</v>
      </c>
      <c r="H616" s="39">
        <v>0</v>
      </c>
      <c r="I616" s="40">
        <v>364512</v>
      </c>
      <c r="J616" s="41">
        <v>8.05</v>
      </c>
      <c r="L616" s="39" t="s">
        <v>15</v>
      </c>
      <c r="M616" s="38">
        <f t="shared" si="9"/>
        <v>35</v>
      </c>
    </row>
    <row r="617" customHeight="1" spans="1:13">
      <c r="A617" s="39">
        <v>616</v>
      </c>
      <c r="B617" s="39">
        <v>1</v>
      </c>
      <c r="C617" s="39">
        <v>2</v>
      </c>
      <c r="D617" s="40" t="s">
        <v>875</v>
      </c>
      <c r="E617" s="40" t="s">
        <v>17</v>
      </c>
      <c r="F617" s="39">
        <v>24</v>
      </c>
      <c r="G617" s="39">
        <v>1</v>
      </c>
      <c r="H617" s="39">
        <v>2</v>
      </c>
      <c r="I617" s="40">
        <v>220845</v>
      </c>
      <c r="J617" s="41">
        <v>65</v>
      </c>
      <c r="L617" s="39" t="s">
        <v>15</v>
      </c>
      <c r="M617" s="38">
        <f t="shared" si="9"/>
        <v>24</v>
      </c>
    </row>
    <row r="618" customHeight="1" spans="1:13">
      <c r="A618" s="39">
        <v>617</v>
      </c>
      <c r="B618" s="39">
        <v>0</v>
      </c>
      <c r="C618" s="39">
        <v>3</v>
      </c>
      <c r="D618" s="40" t="s">
        <v>876</v>
      </c>
      <c r="E618" s="40" t="s">
        <v>13</v>
      </c>
      <c r="F618" s="39">
        <v>34</v>
      </c>
      <c r="G618" s="39">
        <v>1</v>
      </c>
      <c r="H618" s="39">
        <v>1</v>
      </c>
      <c r="I618" s="40">
        <v>347080</v>
      </c>
      <c r="J618" s="41">
        <v>14.4</v>
      </c>
      <c r="L618" s="39" t="s">
        <v>15</v>
      </c>
      <c r="M618" s="38">
        <f t="shared" si="9"/>
        <v>34</v>
      </c>
    </row>
    <row r="619" customHeight="1" spans="1:13">
      <c r="A619" s="39">
        <v>618</v>
      </c>
      <c r="B619" s="39">
        <v>0</v>
      </c>
      <c r="C619" s="39">
        <v>3</v>
      </c>
      <c r="D619" s="40" t="s">
        <v>877</v>
      </c>
      <c r="E619" s="40" t="s">
        <v>17</v>
      </c>
      <c r="F619" s="39">
        <v>26</v>
      </c>
      <c r="G619" s="39">
        <v>1</v>
      </c>
      <c r="H619" s="39">
        <v>0</v>
      </c>
      <c r="I619" s="40" t="s">
        <v>384</v>
      </c>
      <c r="J619" s="41">
        <v>16.1</v>
      </c>
      <c r="L619" s="39" t="s">
        <v>15</v>
      </c>
      <c r="M619" s="38">
        <f t="shared" si="9"/>
        <v>26</v>
      </c>
    </row>
    <row r="620" customHeight="1" spans="1:13">
      <c r="A620" s="39">
        <v>619</v>
      </c>
      <c r="B620" s="39">
        <v>1</v>
      </c>
      <c r="C620" s="39">
        <v>2</v>
      </c>
      <c r="D620" s="40" t="s">
        <v>878</v>
      </c>
      <c r="E620" s="40" t="s">
        <v>17</v>
      </c>
      <c r="F620" s="39">
        <v>4</v>
      </c>
      <c r="G620" s="39">
        <v>2</v>
      </c>
      <c r="H620" s="39">
        <v>1</v>
      </c>
      <c r="I620" s="40">
        <v>230136</v>
      </c>
      <c r="J620" s="41">
        <v>39</v>
      </c>
      <c r="K620" s="42" t="s">
        <v>286</v>
      </c>
      <c r="L620" s="39" t="s">
        <v>15</v>
      </c>
      <c r="M620" s="38">
        <f t="shared" si="9"/>
        <v>4</v>
      </c>
    </row>
    <row r="621" customHeight="1" spans="1:13">
      <c r="A621" s="39">
        <v>620</v>
      </c>
      <c r="B621" s="39">
        <v>0</v>
      </c>
      <c r="C621" s="39">
        <v>2</v>
      </c>
      <c r="D621" s="40" t="s">
        <v>879</v>
      </c>
      <c r="E621" s="40" t="s">
        <v>13</v>
      </c>
      <c r="F621" s="39">
        <v>26</v>
      </c>
      <c r="G621" s="39">
        <v>0</v>
      </c>
      <c r="H621" s="39">
        <v>0</v>
      </c>
      <c r="I621" s="40">
        <v>31028</v>
      </c>
      <c r="J621" s="41">
        <v>10.5</v>
      </c>
      <c r="L621" s="39" t="s">
        <v>15</v>
      </c>
      <c r="M621" s="38">
        <f t="shared" si="9"/>
        <v>26</v>
      </c>
    </row>
    <row r="622" customHeight="1" spans="1:13">
      <c r="A622" s="39">
        <v>621</v>
      </c>
      <c r="B622" s="39">
        <v>0</v>
      </c>
      <c r="C622" s="39">
        <v>3</v>
      </c>
      <c r="D622" s="40" t="s">
        <v>880</v>
      </c>
      <c r="E622" s="40" t="s">
        <v>13</v>
      </c>
      <c r="F622" s="39">
        <v>27</v>
      </c>
      <c r="G622" s="39">
        <v>1</v>
      </c>
      <c r="H622" s="39">
        <v>0</v>
      </c>
      <c r="I622" s="40">
        <v>2659</v>
      </c>
      <c r="J622" s="41">
        <v>14.4542</v>
      </c>
      <c r="L622" s="39" t="s">
        <v>20</v>
      </c>
      <c r="M622" s="38">
        <f t="shared" si="9"/>
        <v>27</v>
      </c>
    </row>
    <row r="623" customHeight="1" spans="1:13">
      <c r="A623" s="39">
        <v>622</v>
      </c>
      <c r="B623" s="39">
        <v>1</v>
      </c>
      <c r="C623" s="39">
        <v>1</v>
      </c>
      <c r="D623" s="40" t="s">
        <v>881</v>
      </c>
      <c r="E623" s="40" t="s">
        <v>13</v>
      </c>
      <c r="F623" s="39">
        <v>42</v>
      </c>
      <c r="G623" s="39">
        <v>1</v>
      </c>
      <c r="H623" s="39">
        <v>0</v>
      </c>
      <c r="I623" s="40">
        <v>11753</v>
      </c>
      <c r="J623" s="41">
        <v>52.5542</v>
      </c>
      <c r="K623" s="42" t="s">
        <v>882</v>
      </c>
      <c r="L623" s="39" t="s">
        <v>15</v>
      </c>
      <c r="M623" s="38">
        <f t="shared" si="9"/>
        <v>42</v>
      </c>
    </row>
    <row r="624" customHeight="1" spans="1:13">
      <c r="A624" s="39">
        <v>623</v>
      </c>
      <c r="B624" s="39">
        <v>1</v>
      </c>
      <c r="C624" s="39">
        <v>3</v>
      </c>
      <c r="D624" s="40" t="s">
        <v>883</v>
      </c>
      <c r="E624" s="40" t="s">
        <v>13</v>
      </c>
      <c r="F624" s="39">
        <v>20</v>
      </c>
      <c r="G624" s="39">
        <v>1</v>
      </c>
      <c r="H624" s="39">
        <v>1</v>
      </c>
      <c r="I624" s="40">
        <v>2653</v>
      </c>
      <c r="J624" s="41">
        <v>15.7417</v>
      </c>
      <c r="L624" s="39" t="s">
        <v>20</v>
      </c>
      <c r="M624" s="38">
        <f t="shared" si="9"/>
        <v>20</v>
      </c>
    </row>
    <row r="625" customHeight="1" spans="1:13">
      <c r="A625" s="39">
        <v>624</v>
      </c>
      <c r="B625" s="39">
        <v>0</v>
      </c>
      <c r="C625" s="39">
        <v>3</v>
      </c>
      <c r="D625" s="40" t="s">
        <v>884</v>
      </c>
      <c r="E625" s="40" t="s">
        <v>13</v>
      </c>
      <c r="F625" s="39">
        <v>21</v>
      </c>
      <c r="G625" s="39">
        <v>0</v>
      </c>
      <c r="H625" s="39">
        <v>0</v>
      </c>
      <c r="I625" s="40">
        <v>350029</v>
      </c>
      <c r="J625" s="41">
        <v>7.8542</v>
      </c>
      <c r="L625" s="39" t="s">
        <v>15</v>
      </c>
      <c r="M625" s="38">
        <f t="shared" si="9"/>
        <v>21</v>
      </c>
    </row>
    <row r="626" customHeight="1" spans="1:13">
      <c r="A626" s="39">
        <v>625</v>
      </c>
      <c r="B626" s="39">
        <v>0</v>
      </c>
      <c r="C626" s="39">
        <v>3</v>
      </c>
      <c r="D626" s="40" t="s">
        <v>885</v>
      </c>
      <c r="E626" s="40" t="s">
        <v>13</v>
      </c>
      <c r="F626" s="39">
        <v>21</v>
      </c>
      <c r="G626" s="39">
        <v>0</v>
      </c>
      <c r="H626" s="39">
        <v>0</v>
      </c>
      <c r="I626" s="40">
        <v>54636</v>
      </c>
      <c r="J626" s="41">
        <v>16.1</v>
      </c>
      <c r="L626" s="39" t="s">
        <v>15</v>
      </c>
      <c r="M626" s="38">
        <f t="shared" si="9"/>
        <v>21</v>
      </c>
    </row>
    <row r="627" customHeight="1" spans="1:13">
      <c r="A627" s="39">
        <v>626</v>
      </c>
      <c r="B627" s="39">
        <v>0</v>
      </c>
      <c r="C627" s="39">
        <v>1</v>
      </c>
      <c r="D627" s="40" t="s">
        <v>886</v>
      </c>
      <c r="E627" s="40" t="s">
        <v>13</v>
      </c>
      <c r="F627" s="39">
        <v>61</v>
      </c>
      <c r="G627" s="39">
        <v>0</v>
      </c>
      <c r="H627" s="39">
        <v>0</v>
      </c>
      <c r="I627" s="40">
        <v>36963</v>
      </c>
      <c r="J627" s="41">
        <v>32.3208</v>
      </c>
      <c r="K627" s="42" t="s">
        <v>887</v>
      </c>
      <c r="L627" s="39" t="s">
        <v>15</v>
      </c>
      <c r="M627" s="38">
        <f t="shared" si="9"/>
        <v>61</v>
      </c>
    </row>
    <row r="628" customHeight="1" spans="1:13">
      <c r="A628" s="39">
        <v>627</v>
      </c>
      <c r="B628" s="39">
        <v>0</v>
      </c>
      <c r="C628" s="39">
        <v>2</v>
      </c>
      <c r="D628" s="40" t="s">
        <v>888</v>
      </c>
      <c r="E628" s="40" t="s">
        <v>13</v>
      </c>
      <c r="F628" s="39">
        <v>57</v>
      </c>
      <c r="G628" s="39">
        <v>0</v>
      </c>
      <c r="H628" s="39">
        <v>0</v>
      </c>
      <c r="I628" s="40">
        <v>219533</v>
      </c>
      <c r="J628" s="41">
        <v>12.35</v>
      </c>
      <c r="L628" s="39" t="s">
        <v>27</v>
      </c>
      <c r="M628" s="38">
        <f t="shared" si="9"/>
        <v>57</v>
      </c>
    </row>
    <row r="629" customHeight="1" spans="1:13">
      <c r="A629" s="39">
        <v>628</v>
      </c>
      <c r="B629" s="39">
        <v>1</v>
      </c>
      <c r="C629" s="39">
        <v>1</v>
      </c>
      <c r="D629" s="40" t="s">
        <v>889</v>
      </c>
      <c r="E629" s="40" t="s">
        <v>17</v>
      </c>
      <c r="F629" s="39">
        <v>21</v>
      </c>
      <c r="G629" s="39">
        <v>0</v>
      </c>
      <c r="H629" s="39">
        <v>0</v>
      </c>
      <c r="I629" s="40">
        <v>13502</v>
      </c>
      <c r="J629" s="41">
        <v>77.9583</v>
      </c>
      <c r="K629" s="42" t="s">
        <v>890</v>
      </c>
      <c r="L629" s="39" t="s">
        <v>15</v>
      </c>
      <c r="M629" s="38">
        <f t="shared" si="9"/>
        <v>21</v>
      </c>
    </row>
    <row r="630" customHeight="1" spans="1:13">
      <c r="A630" s="39">
        <v>629</v>
      </c>
      <c r="B630" s="39">
        <v>0</v>
      </c>
      <c r="C630" s="39">
        <v>3</v>
      </c>
      <c r="D630" s="40" t="s">
        <v>891</v>
      </c>
      <c r="E630" s="40" t="s">
        <v>13</v>
      </c>
      <c r="F630" s="39">
        <v>26</v>
      </c>
      <c r="G630" s="39">
        <v>0</v>
      </c>
      <c r="H630" s="39">
        <v>0</v>
      </c>
      <c r="I630" s="40">
        <v>349224</v>
      </c>
      <c r="J630" s="41">
        <v>7.8958</v>
      </c>
      <c r="L630" s="39" t="s">
        <v>15</v>
      </c>
      <c r="M630" s="38">
        <f t="shared" si="9"/>
        <v>26</v>
      </c>
    </row>
    <row r="631" customHeight="1" spans="1:13">
      <c r="A631" s="39">
        <v>630</v>
      </c>
      <c r="B631" s="39">
        <v>0</v>
      </c>
      <c r="C631" s="39">
        <v>3</v>
      </c>
      <c r="D631" s="40" t="s">
        <v>892</v>
      </c>
      <c r="E631" s="40" t="s">
        <v>13</v>
      </c>
      <c r="G631" s="39">
        <v>0</v>
      </c>
      <c r="H631" s="39">
        <v>0</v>
      </c>
      <c r="I631" s="40">
        <v>334912</v>
      </c>
      <c r="J631" s="41">
        <v>7.7333</v>
      </c>
      <c r="L631" s="39" t="s">
        <v>27</v>
      </c>
      <c r="M631" s="38">
        <f t="shared" si="9"/>
        <v>29.6991176470588</v>
      </c>
    </row>
    <row r="632" customHeight="1" spans="1:13">
      <c r="A632" s="39">
        <v>631</v>
      </c>
      <c r="B632" s="39">
        <v>1</v>
      </c>
      <c r="C632" s="39">
        <v>1</v>
      </c>
      <c r="D632" s="40" t="s">
        <v>893</v>
      </c>
      <c r="E632" s="40" t="s">
        <v>13</v>
      </c>
      <c r="F632" s="39">
        <v>80</v>
      </c>
      <c r="G632" s="39">
        <v>0</v>
      </c>
      <c r="H632" s="39">
        <v>0</v>
      </c>
      <c r="I632" s="40">
        <v>27042</v>
      </c>
      <c r="J632" s="41">
        <v>30</v>
      </c>
      <c r="K632" s="42" t="s">
        <v>894</v>
      </c>
      <c r="L632" s="39" t="s">
        <v>15</v>
      </c>
      <c r="M632" s="38">
        <f t="shared" si="9"/>
        <v>80</v>
      </c>
    </row>
    <row r="633" customHeight="1" spans="1:13">
      <c r="A633" s="39">
        <v>632</v>
      </c>
      <c r="B633" s="39">
        <v>0</v>
      </c>
      <c r="C633" s="39">
        <v>3</v>
      </c>
      <c r="D633" s="40" t="s">
        <v>895</v>
      </c>
      <c r="E633" s="40" t="s">
        <v>13</v>
      </c>
      <c r="F633" s="39">
        <v>51</v>
      </c>
      <c r="G633" s="39">
        <v>0</v>
      </c>
      <c r="H633" s="39">
        <v>0</v>
      </c>
      <c r="I633" s="40">
        <v>347743</v>
      </c>
      <c r="J633" s="41">
        <v>7.0542</v>
      </c>
      <c r="L633" s="39" t="s">
        <v>15</v>
      </c>
      <c r="M633" s="38">
        <f t="shared" si="9"/>
        <v>51</v>
      </c>
    </row>
    <row r="634" customHeight="1" spans="1:13">
      <c r="A634" s="39">
        <v>633</v>
      </c>
      <c r="B634" s="39">
        <v>1</v>
      </c>
      <c r="C634" s="39">
        <v>1</v>
      </c>
      <c r="D634" s="40" t="s">
        <v>896</v>
      </c>
      <c r="E634" s="40" t="s">
        <v>13</v>
      </c>
      <c r="F634" s="39">
        <v>32</v>
      </c>
      <c r="G634" s="39">
        <v>0</v>
      </c>
      <c r="H634" s="39">
        <v>0</v>
      </c>
      <c r="I634" s="40">
        <v>13214</v>
      </c>
      <c r="J634" s="41">
        <v>30.5</v>
      </c>
      <c r="K634" s="42" t="s">
        <v>897</v>
      </c>
      <c r="L634" s="39" t="s">
        <v>20</v>
      </c>
      <c r="M634" s="38">
        <f t="shared" si="9"/>
        <v>32</v>
      </c>
    </row>
    <row r="635" customHeight="1" spans="1:13">
      <c r="A635" s="39">
        <v>634</v>
      </c>
      <c r="B635" s="39">
        <v>0</v>
      </c>
      <c r="C635" s="39">
        <v>1</v>
      </c>
      <c r="D635" s="40" t="s">
        <v>898</v>
      </c>
      <c r="E635" s="40" t="s">
        <v>13</v>
      </c>
      <c r="G635" s="39">
        <v>0</v>
      </c>
      <c r="H635" s="39">
        <v>0</v>
      </c>
      <c r="I635" s="40">
        <v>112052</v>
      </c>
      <c r="J635" s="41">
        <v>0</v>
      </c>
      <c r="L635" s="39" t="s">
        <v>15</v>
      </c>
      <c r="M635" s="38">
        <f t="shared" si="9"/>
        <v>29.6991176470588</v>
      </c>
    </row>
    <row r="636" customHeight="1" spans="1:13">
      <c r="A636" s="39">
        <v>635</v>
      </c>
      <c r="B636" s="39">
        <v>0</v>
      </c>
      <c r="C636" s="39">
        <v>3</v>
      </c>
      <c r="D636" s="40" t="s">
        <v>899</v>
      </c>
      <c r="E636" s="40" t="s">
        <v>17</v>
      </c>
      <c r="F636" s="39">
        <v>9</v>
      </c>
      <c r="G636" s="39">
        <v>3</v>
      </c>
      <c r="H636" s="39">
        <v>2</v>
      </c>
      <c r="I636" s="40">
        <v>347088</v>
      </c>
      <c r="J636" s="41">
        <v>27.9</v>
      </c>
      <c r="L636" s="39" t="s">
        <v>15</v>
      </c>
      <c r="M636" s="38">
        <f t="shared" si="9"/>
        <v>9</v>
      </c>
    </row>
    <row r="637" customHeight="1" spans="1:13">
      <c r="A637" s="39">
        <v>636</v>
      </c>
      <c r="B637" s="39">
        <v>1</v>
      </c>
      <c r="C637" s="39">
        <v>2</v>
      </c>
      <c r="D637" s="40" t="s">
        <v>900</v>
      </c>
      <c r="E637" s="40" t="s">
        <v>17</v>
      </c>
      <c r="F637" s="39">
        <v>28</v>
      </c>
      <c r="G637" s="39">
        <v>0</v>
      </c>
      <c r="H637" s="39">
        <v>0</v>
      </c>
      <c r="I637" s="40">
        <v>237668</v>
      </c>
      <c r="J637" s="41">
        <v>13</v>
      </c>
      <c r="L637" s="39" t="s">
        <v>15</v>
      </c>
      <c r="M637" s="38">
        <f t="shared" si="9"/>
        <v>28</v>
      </c>
    </row>
    <row r="638" customHeight="1" spans="1:13">
      <c r="A638" s="39">
        <v>637</v>
      </c>
      <c r="B638" s="39">
        <v>0</v>
      </c>
      <c r="C638" s="39">
        <v>3</v>
      </c>
      <c r="D638" s="40" t="s">
        <v>901</v>
      </c>
      <c r="E638" s="40" t="s">
        <v>13</v>
      </c>
      <c r="F638" s="39">
        <v>32</v>
      </c>
      <c r="G638" s="39">
        <v>0</v>
      </c>
      <c r="H638" s="39">
        <v>0</v>
      </c>
      <c r="I638" s="40" t="s">
        <v>902</v>
      </c>
      <c r="J638" s="41">
        <v>7.925</v>
      </c>
      <c r="L638" s="39" t="s">
        <v>15</v>
      </c>
      <c r="M638" s="38">
        <f t="shared" si="9"/>
        <v>32</v>
      </c>
    </row>
    <row r="639" customHeight="1" spans="1:13">
      <c r="A639" s="39">
        <v>638</v>
      </c>
      <c r="B639" s="39">
        <v>0</v>
      </c>
      <c r="C639" s="39">
        <v>2</v>
      </c>
      <c r="D639" s="40" t="s">
        <v>903</v>
      </c>
      <c r="E639" s="40" t="s">
        <v>13</v>
      </c>
      <c r="F639" s="39">
        <v>31</v>
      </c>
      <c r="G639" s="39">
        <v>1</v>
      </c>
      <c r="H639" s="39">
        <v>1</v>
      </c>
      <c r="I639" s="40" t="s">
        <v>361</v>
      </c>
      <c r="J639" s="41">
        <v>26.25</v>
      </c>
      <c r="L639" s="39" t="s">
        <v>15</v>
      </c>
      <c r="M639" s="38">
        <f t="shared" si="9"/>
        <v>31</v>
      </c>
    </row>
    <row r="640" customHeight="1" spans="1:13">
      <c r="A640" s="39">
        <v>639</v>
      </c>
      <c r="B640" s="39">
        <v>0</v>
      </c>
      <c r="C640" s="39">
        <v>3</v>
      </c>
      <c r="D640" s="40" t="s">
        <v>904</v>
      </c>
      <c r="E640" s="40" t="s">
        <v>17</v>
      </c>
      <c r="F640" s="39">
        <v>41</v>
      </c>
      <c r="G640" s="39">
        <v>0</v>
      </c>
      <c r="H640" s="39">
        <v>5</v>
      </c>
      <c r="I640" s="40">
        <v>3101295</v>
      </c>
      <c r="J640" s="41">
        <v>39.6875</v>
      </c>
      <c r="L640" s="39" t="s">
        <v>15</v>
      </c>
      <c r="M640" s="38">
        <f t="shared" si="9"/>
        <v>41</v>
      </c>
    </row>
    <row r="641" customHeight="1" spans="1:13">
      <c r="A641" s="39">
        <v>640</v>
      </c>
      <c r="B641" s="39">
        <v>0</v>
      </c>
      <c r="C641" s="39">
        <v>3</v>
      </c>
      <c r="D641" s="40" t="s">
        <v>905</v>
      </c>
      <c r="E641" s="40" t="s">
        <v>13</v>
      </c>
      <c r="G641" s="39">
        <v>1</v>
      </c>
      <c r="H641" s="39">
        <v>0</v>
      </c>
      <c r="I641" s="40">
        <v>376564</v>
      </c>
      <c r="J641" s="41">
        <v>16.1</v>
      </c>
      <c r="L641" s="39" t="s">
        <v>15</v>
      </c>
      <c r="M641" s="38">
        <f t="shared" si="9"/>
        <v>29.6991176470588</v>
      </c>
    </row>
    <row r="642" customHeight="1" spans="1:13">
      <c r="A642" s="39">
        <v>641</v>
      </c>
      <c r="B642" s="39">
        <v>0</v>
      </c>
      <c r="C642" s="39">
        <v>3</v>
      </c>
      <c r="D642" s="40" t="s">
        <v>906</v>
      </c>
      <c r="E642" s="40" t="s">
        <v>13</v>
      </c>
      <c r="F642" s="39">
        <v>20</v>
      </c>
      <c r="G642" s="39">
        <v>0</v>
      </c>
      <c r="H642" s="39">
        <v>0</v>
      </c>
      <c r="I642" s="40">
        <v>350050</v>
      </c>
      <c r="J642" s="41">
        <v>7.8542</v>
      </c>
      <c r="L642" s="39" t="s">
        <v>15</v>
      </c>
      <c r="M642" s="38">
        <f t="shared" ref="M642:M705" si="10">IF(F642="",AVERAGE($F$2:$F$892),F642)</f>
        <v>20</v>
      </c>
    </row>
    <row r="643" customHeight="1" spans="1:13">
      <c r="A643" s="39">
        <v>642</v>
      </c>
      <c r="B643" s="39">
        <v>1</v>
      </c>
      <c r="C643" s="39">
        <v>1</v>
      </c>
      <c r="D643" s="40" t="s">
        <v>907</v>
      </c>
      <c r="E643" s="40" t="s">
        <v>17</v>
      </c>
      <c r="F643" s="39">
        <v>24</v>
      </c>
      <c r="G643" s="39">
        <v>0</v>
      </c>
      <c r="H643" s="39">
        <v>0</v>
      </c>
      <c r="I643" s="40" t="s">
        <v>549</v>
      </c>
      <c r="J643" s="41">
        <v>69.3</v>
      </c>
      <c r="K643" s="42" t="s">
        <v>550</v>
      </c>
      <c r="L643" s="39" t="s">
        <v>20</v>
      </c>
      <c r="M643" s="38">
        <f t="shared" si="10"/>
        <v>24</v>
      </c>
    </row>
    <row r="644" customHeight="1" spans="1:13">
      <c r="A644" s="39">
        <v>643</v>
      </c>
      <c r="B644" s="39">
        <v>0</v>
      </c>
      <c r="C644" s="39">
        <v>3</v>
      </c>
      <c r="D644" s="40" t="s">
        <v>908</v>
      </c>
      <c r="E644" s="40" t="s">
        <v>17</v>
      </c>
      <c r="F644" s="39">
        <v>2</v>
      </c>
      <c r="G644" s="39">
        <v>3</v>
      </c>
      <c r="H644" s="39">
        <v>2</v>
      </c>
      <c r="I644" s="40">
        <v>347088</v>
      </c>
      <c r="J644" s="41">
        <v>27.9</v>
      </c>
      <c r="L644" s="39" t="s">
        <v>15</v>
      </c>
      <c r="M644" s="38">
        <f t="shared" si="10"/>
        <v>2</v>
      </c>
    </row>
    <row r="645" customHeight="1" spans="1:13">
      <c r="A645" s="39">
        <v>644</v>
      </c>
      <c r="B645" s="39">
        <v>1</v>
      </c>
      <c r="C645" s="39">
        <v>3</v>
      </c>
      <c r="D645" s="40" t="s">
        <v>909</v>
      </c>
      <c r="E645" s="40" t="s">
        <v>13</v>
      </c>
      <c r="G645" s="39">
        <v>0</v>
      </c>
      <c r="H645" s="39">
        <v>0</v>
      </c>
      <c r="I645" s="40">
        <v>1601</v>
      </c>
      <c r="J645" s="41">
        <v>56.4958</v>
      </c>
      <c r="L645" s="39" t="s">
        <v>15</v>
      </c>
      <c r="M645" s="38">
        <f t="shared" si="10"/>
        <v>29.6991176470588</v>
      </c>
    </row>
    <row r="646" customHeight="1" spans="1:13">
      <c r="A646" s="39">
        <v>645</v>
      </c>
      <c r="B646" s="39">
        <v>1</v>
      </c>
      <c r="C646" s="39">
        <v>3</v>
      </c>
      <c r="D646" s="40" t="s">
        <v>910</v>
      </c>
      <c r="E646" s="40" t="s">
        <v>17</v>
      </c>
      <c r="F646" s="39">
        <v>0.75</v>
      </c>
      <c r="G646" s="39">
        <v>2</v>
      </c>
      <c r="H646" s="39">
        <v>1</v>
      </c>
      <c r="I646" s="40">
        <v>2666</v>
      </c>
      <c r="J646" s="41">
        <v>19.2583</v>
      </c>
      <c r="L646" s="39" t="s">
        <v>20</v>
      </c>
      <c r="M646" s="38">
        <f t="shared" si="10"/>
        <v>0.75</v>
      </c>
    </row>
    <row r="647" customHeight="1" spans="1:13">
      <c r="A647" s="39">
        <v>646</v>
      </c>
      <c r="B647" s="39">
        <v>1</v>
      </c>
      <c r="C647" s="39">
        <v>1</v>
      </c>
      <c r="D647" s="40" t="s">
        <v>911</v>
      </c>
      <c r="E647" s="40" t="s">
        <v>13</v>
      </c>
      <c r="F647" s="39">
        <v>48</v>
      </c>
      <c r="G647" s="39">
        <v>1</v>
      </c>
      <c r="H647" s="39">
        <v>0</v>
      </c>
      <c r="I647" s="40" t="s">
        <v>92</v>
      </c>
      <c r="J647" s="41">
        <v>76.7292</v>
      </c>
      <c r="K647" s="42" t="s">
        <v>93</v>
      </c>
      <c r="L647" s="39" t="s">
        <v>20</v>
      </c>
      <c r="M647" s="38">
        <f t="shared" si="10"/>
        <v>48</v>
      </c>
    </row>
    <row r="648" customHeight="1" spans="1:13">
      <c r="A648" s="39">
        <v>647</v>
      </c>
      <c r="B648" s="39">
        <v>0</v>
      </c>
      <c r="C648" s="39">
        <v>3</v>
      </c>
      <c r="D648" s="40" t="s">
        <v>912</v>
      </c>
      <c r="E648" s="40" t="s">
        <v>13</v>
      </c>
      <c r="F648" s="39">
        <v>19</v>
      </c>
      <c r="G648" s="39">
        <v>0</v>
      </c>
      <c r="H648" s="39">
        <v>0</v>
      </c>
      <c r="I648" s="40">
        <v>349231</v>
      </c>
      <c r="J648" s="41">
        <v>7.8958</v>
      </c>
      <c r="L648" s="39" t="s">
        <v>15</v>
      </c>
      <c r="M648" s="38">
        <f t="shared" si="10"/>
        <v>19</v>
      </c>
    </row>
    <row r="649" customHeight="1" spans="1:13">
      <c r="A649" s="39">
        <v>648</v>
      </c>
      <c r="B649" s="39">
        <v>1</v>
      </c>
      <c r="C649" s="39">
        <v>1</v>
      </c>
      <c r="D649" s="40" t="s">
        <v>913</v>
      </c>
      <c r="E649" s="40" t="s">
        <v>13</v>
      </c>
      <c r="F649" s="39">
        <v>56</v>
      </c>
      <c r="G649" s="39">
        <v>0</v>
      </c>
      <c r="H649" s="39">
        <v>0</v>
      </c>
      <c r="I649" s="40">
        <v>13213</v>
      </c>
      <c r="J649" s="41">
        <v>35.5</v>
      </c>
      <c r="K649" s="42" t="s">
        <v>914</v>
      </c>
      <c r="L649" s="39" t="s">
        <v>20</v>
      </c>
      <c r="M649" s="38">
        <f t="shared" si="10"/>
        <v>56</v>
      </c>
    </row>
    <row r="650" customHeight="1" spans="1:13">
      <c r="A650" s="39">
        <v>649</v>
      </c>
      <c r="B650" s="39">
        <v>0</v>
      </c>
      <c r="C650" s="39">
        <v>3</v>
      </c>
      <c r="D650" s="40" t="s">
        <v>915</v>
      </c>
      <c r="E650" s="40" t="s">
        <v>13</v>
      </c>
      <c r="G650" s="39">
        <v>0</v>
      </c>
      <c r="H650" s="39">
        <v>0</v>
      </c>
      <c r="I650" s="40" t="s">
        <v>916</v>
      </c>
      <c r="J650" s="41">
        <v>7.55</v>
      </c>
      <c r="L650" s="39" t="s">
        <v>15</v>
      </c>
      <c r="M650" s="38">
        <f t="shared" si="10"/>
        <v>29.6991176470588</v>
      </c>
    </row>
    <row r="651" customHeight="1" spans="1:13">
      <c r="A651" s="39">
        <v>650</v>
      </c>
      <c r="B651" s="39">
        <v>1</v>
      </c>
      <c r="C651" s="39">
        <v>3</v>
      </c>
      <c r="D651" s="40" t="s">
        <v>917</v>
      </c>
      <c r="E651" s="40" t="s">
        <v>17</v>
      </c>
      <c r="F651" s="39">
        <v>23</v>
      </c>
      <c r="G651" s="39">
        <v>0</v>
      </c>
      <c r="H651" s="39">
        <v>0</v>
      </c>
      <c r="I651" s="40" t="s">
        <v>918</v>
      </c>
      <c r="J651" s="41">
        <v>7.55</v>
      </c>
      <c r="L651" s="39" t="s">
        <v>15</v>
      </c>
      <c r="M651" s="38">
        <f t="shared" si="10"/>
        <v>23</v>
      </c>
    </row>
    <row r="652" customHeight="1" spans="1:13">
      <c r="A652" s="39">
        <v>651</v>
      </c>
      <c r="B652" s="39">
        <v>0</v>
      </c>
      <c r="C652" s="39">
        <v>3</v>
      </c>
      <c r="D652" s="40" t="s">
        <v>919</v>
      </c>
      <c r="E652" s="40" t="s">
        <v>13</v>
      </c>
      <c r="G652" s="39">
        <v>0</v>
      </c>
      <c r="H652" s="39">
        <v>0</v>
      </c>
      <c r="I652" s="40">
        <v>349221</v>
      </c>
      <c r="J652" s="41">
        <v>7.8958</v>
      </c>
      <c r="L652" s="39" t="s">
        <v>15</v>
      </c>
      <c r="M652" s="38">
        <f t="shared" si="10"/>
        <v>29.6991176470588</v>
      </c>
    </row>
    <row r="653" customHeight="1" spans="1:13">
      <c r="A653" s="39">
        <v>652</v>
      </c>
      <c r="B653" s="39">
        <v>1</v>
      </c>
      <c r="C653" s="39">
        <v>2</v>
      </c>
      <c r="D653" s="40" t="s">
        <v>920</v>
      </c>
      <c r="E653" s="40" t="s">
        <v>17</v>
      </c>
      <c r="F653" s="39">
        <v>18</v>
      </c>
      <c r="G653" s="39">
        <v>0</v>
      </c>
      <c r="H653" s="39">
        <v>1</v>
      </c>
      <c r="I653" s="40">
        <v>231919</v>
      </c>
      <c r="J653" s="41">
        <v>23</v>
      </c>
      <c r="L653" s="39" t="s">
        <v>15</v>
      </c>
      <c r="M653" s="38">
        <f t="shared" si="10"/>
        <v>18</v>
      </c>
    </row>
    <row r="654" customHeight="1" spans="1:13">
      <c r="A654" s="39">
        <v>653</v>
      </c>
      <c r="B654" s="39">
        <v>0</v>
      </c>
      <c r="C654" s="39">
        <v>3</v>
      </c>
      <c r="D654" s="40" t="s">
        <v>921</v>
      </c>
      <c r="E654" s="40" t="s">
        <v>13</v>
      </c>
      <c r="F654" s="39">
        <v>21</v>
      </c>
      <c r="G654" s="39">
        <v>0</v>
      </c>
      <c r="H654" s="39">
        <v>0</v>
      </c>
      <c r="I654" s="40">
        <v>8475</v>
      </c>
      <c r="J654" s="41">
        <v>8.4333</v>
      </c>
      <c r="L654" s="39" t="s">
        <v>15</v>
      </c>
      <c r="M654" s="38">
        <f t="shared" si="10"/>
        <v>21</v>
      </c>
    </row>
    <row r="655" customHeight="1" spans="1:13">
      <c r="A655" s="39">
        <v>654</v>
      </c>
      <c r="B655" s="39">
        <v>1</v>
      </c>
      <c r="C655" s="39">
        <v>3</v>
      </c>
      <c r="D655" s="40" t="s">
        <v>922</v>
      </c>
      <c r="E655" s="40" t="s">
        <v>17</v>
      </c>
      <c r="G655" s="39">
        <v>0</v>
      </c>
      <c r="H655" s="39">
        <v>0</v>
      </c>
      <c r="I655" s="40">
        <v>330919</v>
      </c>
      <c r="J655" s="41">
        <v>7.8292</v>
      </c>
      <c r="L655" s="39" t="s">
        <v>27</v>
      </c>
      <c r="M655" s="38">
        <f t="shared" si="10"/>
        <v>29.6991176470588</v>
      </c>
    </row>
    <row r="656" customHeight="1" spans="1:13">
      <c r="A656" s="39">
        <v>655</v>
      </c>
      <c r="B656" s="39">
        <v>0</v>
      </c>
      <c r="C656" s="39">
        <v>3</v>
      </c>
      <c r="D656" s="40" t="s">
        <v>923</v>
      </c>
      <c r="E656" s="40" t="s">
        <v>17</v>
      </c>
      <c r="F656" s="39">
        <v>18</v>
      </c>
      <c r="G656" s="39">
        <v>0</v>
      </c>
      <c r="H656" s="39">
        <v>0</v>
      </c>
      <c r="I656" s="40">
        <v>365226</v>
      </c>
      <c r="J656" s="41">
        <v>6.75</v>
      </c>
      <c r="L656" s="39" t="s">
        <v>27</v>
      </c>
      <c r="M656" s="38">
        <f t="shared" si="10"/>
        <v>18</v>
      </c>
    </row>
    <row r="657" customHeight="1" spans="1:13">
      <c r="A657" s="39">
        <v>656</v>
      </c>
      <c r="B657" s="39">
        <v>0</v>
      </c>
      <c r="C657" s="39">
        <v>2</v>
      </c>
      <c r="D657" s="40" t="s">
        <v>924</v>
      </c>
      <c r="E657" s="40" t="s">
        <v>13</v>
      </c>
      <c r="F657" s="39">
        <v>24</v>
      </c>
      <c r="G657" s="39">
        <v>2</v>
      </c>
      <c r="H657" s="39">
        <v>0</v>
      </c>
      <c r="I657" s="40" t="s">
        <v>126</v>
      </c>
      <c r="J657" s="41">
        <v>73.5</v>
      </c>
      <c r="L657" s="39" t="s">
        <v>15</v>
      </c>
      <c r="M657" s="38">
        <f t="shared" si="10"/>
        <v>24</v>
      </c>
    </row>
    <row r="658" customHeight="1" spans="1:13">
      <c r="A658" s="39">
        <v>657</v>
      </c>
      <c r="B658" s="39">
        <v>0</v>
      </c>
      <c r="C658" s="39">
        <v>3</v>
      </c>
      <c r="D658" s="40" t="s">
        <v>925</v>
      </c>
      <c r="E658" s="40" t="s">
        <v>13</v>
      </c>
      <c r="G658" s="39">
        <v>0</v>
      </c>
      <c r="H658" s="39">
        <v>0</v>
      </c>
      <c r="I658" s="40">
        <v>349223</v>
      </c>
      <c r="J658" s="41">
        <v>7.8958</v>
      </c>
      <c r="L658" s="39" t="s">
        <v>15</v>
      </c>
      <c r="M658" s="38">
        <f t="shared" si="10"/>
        <v>29.6991176470588</v>
      </c>
    </row>
    <row r="659" customHeight="1" spans="1:13">
      <c r="A659" s="39">
        <v>658</v>
      </c>
      <c r="B659" s="39">
        <v>0</v>
      </c>
      <c r="C659" s="39">
        <v>3</v>
      </c>
      <c r="D659" s="40" t="s">
        <v>926</v>
      </c>
      <c r="E659" s="40" t="s">
        <v>17</v>
      </c>
      <c r="F659" s="39">
        <v>32</v>
      </c>
      <c r="G659" s="39">
        <v>1</v>
      </c>
      <c r="H659" s="39">
        <v>1</v>
      </c>
      <c r="I659" s="40">
        <v>364849</v>
      </c>
      <c r="J659" s="41">
        <v>15.5</v>
      </c>
      <c r="L659" s="39" t="s">
        <v>27</v>
      </c>
      <c r="M659" s="38">
        <f t="shared" si="10"/>
        <v>32</v>
      </c>
    </row>
    <row r="660" customHeight="1" spans="1:13">
      <c r="A660" s="39">
        <v>659</v>
      </c>
      <c r="B660" s="39">
        <v>0</v>
      </c>
      <c r="C660" s="39">
        <v>2</v>
      </c>
      <c r="D660" s="40" t="s">
        <v>927</v>
      </c>
      <c r="E660" s="40" t="s">
        <v>13</v>
      </c>
      <c r="F660" s="39">
        <v>23</v>
      </c>
      <c r="G660" s="39">
        <v>0</v>
      </c>
      <c r="H660" s="39">
        <v>0</v>
      </c>
      <c r="I660" s="40">
        <v>29751</v>
      </c>
      <c r="J660" s="41">
        <v>13</v>
      </c>
      <c r="L660" s="39" t="s">
        <v>15</v>
      </c>
      <c r="M660" s="38">
        <f t="shared" si="10"/>
        <v>23</v>
      </c>
    </row>
    <row r="661" customHeight="1" spans="1:13">
      <c r="A661" s="39">
        <v>660</v>
      </c>
      <c r="B661" s="39">
        <v>0</v>
      </c>
      <c r="C661" s="39">
        <v>1</v>
      </c>
      <c r="D661" s="40" t="s">
        <v>928</v>
      </c>
      <c r="E661" s="40" t="s">
        <v>13</v>
      </c>
      <c r="F661" s="39">
        <v>58</v>
      </c>
      <c r="G661" s="39">
        <v>0</v>
      </c>
      <c r="H661" s="39">
        <v>2</v>
      </c>
      <c r="I661" s="40">
        <v>35273</v>
      </c>
      <c r="J661" s="41">
        <v>113.275</v>
      </c>
      <c r="K661" s="42" t="s">
        <v>929</v>
      </c>
      <c r="L661" s="39" t="s">
        <v>20</v>
      </c>
      <c r="M661" s="38">
        <f t="shared" si="10"/>
        <v>58</v>
      </c>
    </row>
    <row r="662" customHeight="1" spans="1:13">
      <c r="A662" s="39">
        <v>661</v>
      </c>
      <c r="B662" s="39">
        <v>1</v>
      </c>
      <c r="C662" s="39">
        <v>1</v>
      </c>
      <c r="D662" s="40" t="s">
        <v>930</v>
      </c>
      <c r="E662" s="40" t="s">
        <v>13</v>
      </c>
      <c r="F662" s="39">
        <v>50</v>
      </c>
      <c r="G662" s="39">
        <v>2</v>
      </c>
      <c r="H662" s="39">
        <v>0</v>
      </c>
      <c r="I662" s="40" t="s">
        <v>505</v>
      </c>
      <c r="J662" s="41">
        <v>133.65</v>
      </c>
      <c r="L662" s="39" t="s">
        <v>15</v>
      </c>
      <c r="M662" s="38">
        <f t="shared" si="10"/>
        <v>50</v>
      </c>
    </row>
    <row r="663" customHeight="1" spans="1:13">
      <c r="A663" s="39">
        <v>662</v>
      </c>
      <c r="B663" s="39">
        <v>0</v>
      </c>
      <c r="C663" s="39">
        <v>3</v>
      </c>
      <c r="D663" s="40" t="s">
        <v>931</v>
      </c>
      <c r="E663" s="40" t="s">
        <v>13</v>
      </c>
      <c r="F663" s="39">
        <v>40</v>
      </c>
      <c r="G663" s="39">
        <v>0</v>
      </c>
      <c r="H663" s="39">
        <v>0</v>
      </c>
      <c r="I663" s="40">
        <v>2623</v>
      </c>
      <c r="J663" s="41">
        <v>7.225</v>
      </c>
      <c r="L663" s="39" t="s">
        <v>20</v>
      </c>
      <c r="M663" s="38">
        <f t="shared" si="10"/>
        <v>40</v>
      </c>
    </row>
    <row r="664" customHeight="1" spans="1:13">
      <c r="A664" s="39">
        <v>663</v>
      </c>
      <c r="B664" s="39">
        <v>0</v>
      </c>
      <c r="C664" s="39">
        <v>1</v>
      </c>
      <c r="D664" s="40" t="s">
        <v>932</v>
      </c>
      <c r="E664" s="40" t="s">
        <v>13</v>
      </c>
      <c r="F664" s="39">
        <v>47</v>
      </c>
      <c r="G664" s="39">
        <v>0</v>
      </c>
      <c r="H664" s="39">
        <v>0</v>
      </c>
      <c r="I664" s="40">
        <v>5727</v>
      </c>
      <c r="J664" s="41">
        <v>25.5875</v>
      </c>
      <c r="K664" s="42" t="s">
        <v>933</v>
      </c>
      <c r="L664" s="39" t="s">
        <v>15</v>
      </c>
      <c r="M664" s="38">
        <f t="shared" si="10"/>
        <v>47</v>
      </c>
    </row>
    <row r="665" customHeight="1" spans="1:13">
      <c r="A665" s="39">
        <v>664</v>
      </c>
      <c r="B665" s="39">
        <v>0</v>
      </c>
      <c r="C665" s="39">
        <v>3</v>
      </c>
      <c r="D665" s="40" t="s">
        <v>934</v>
      </c>
      <c r="E665" s="40" t="s">
        <v>13</v>
      </c>
      <c r="F665" s="39">
        <v>36</v>
      </c>
      <c r="G665" s="39">
        <v>0</v>
      </c>
      <c r="H665" s="39">
        <v>0</v>
      </c>
      <c r="I665" s="40">
        <v>349210</v>
      </c>
      <c r="J665" s="41">
        <v>7.4958</v>
      </c>
      <c r="L665" s="39" t="s">
        <v>15</v>
      </c>
      <c r="M665" s="38">
        <f t="shared" si="10"/>
        <v>36</v>
      </c>
    </row>
    <row r="666" customHeight="1" spans="1:13">
      <c r="A666" s="39">
        <v>665</v>
      </c>
      <c r="B666" s="39">
        <v>1</v>
      </c>
      <c r="C666" s="39">
        <v>3</v>
      </c>
      <c r="D666" s="40" t="s">
        <v>935</v>
      </c>
      <c r="E666" s="40" t="s">
        <v>13</v>
      </c>
      <c r="F666" s="39">
        <v>20</v>
      </c>
      <c r="G666" s="39">
        <v>1</v>
      </c>
      <c r="H666" s="39">
        <v>0</v>
      </c>
      <c r="I666" s="40" t="s">
        <v>936</v>
      </c>
      <c r="J666" s="41">
        <v>7.925</v>
      </c>
      <c r="L666" s="39" t="s">
        <v>15</v>
      </c>
      <c r="M666" s="38">
        <f t="shared" si="10"/>
        <v>20</v>
      </c>
    </row>
    <row r="667" customHeight="1" spans="1:13">
      <c r="A667" s="39">
        <v>666</v>
      </c>
      <c r="B667" s="39">
        <v>0</v>
      </c>
      <c r="C667" s="39">
        <v>2</v>
      </c>
      <c r="D667" s="40" t="s">
        <v>937</v>
      </c>
      <c r="E667" s="40" t="s">
        <v>13</v>
      </c>
      <c r="F667" s="39">
        <v>32</v>
      </c>
      <c r="G667" s="39">
        <v>2</v>
      </c>
      <c r="H667" s="39">
        <v>0</v>
      </c>
      <c r="I667" s="40" t="s">
        <v>126</v>
      </c>
      <c r="J667" s="41">
        <v>73.5</v>
      </c>
      <c r="L667" s="39" t="s">
        <v>15</v>
      </c>
      <c r="M667" s="38">
        <f t="shared" si="10"/>
        <v>32</v>
      </c>
    </row>
    <row r="668" customHeight="1" spans="1:13">
      <c r="A668" s="39">
        <v>667</v>
      </c>
      <c r="B668" s="39">
        <v>0</v>
      </c>
      <c r="C668" s="39">
        <v>2</v>
      </c>
      <c r="D668" s="40" t="s">
        <v>938</v>
      </c>
      <c r="E668" s="40" t="s">
        <v>13</v>
      </c>
      <c r="F668" s="39">
        <v>25</v>
      </c>
      <c r="G668" s="39">
        <v>0</v>
      </c>
      <c r="H668" s="39">
        <v>0</v>
      </c>
      <c r="I668" s="40">
        <v>234686</v>
      </c>
      <c r="J668" s="41">
        <v>13</v>
      </c>
      <c r="L668" s="39" t="s">
        <v>15</v>
      </c>
      <c r="M668" s="38">
        <f t="shared" si="10"/>
        <v>25</v>
      </c>
    </row>
    <row r="669" customHeight="1" spans="1:13">
      <c r="A669" s="39">
        <v>668</v>
      </c>
      <c r="B669" s="39">
        <v>0</v>
      </c>
      <c r="C669" s="39">
        <v>3</v>
      </c>
      <c r="D669" s="40" t="s">
        <v>939</v>
      </c>
      <c r="E669" s="40" t="s">
        <v>13</v>
      </c>
      <c r="G669" s="39">
        <v>0</v>
      </c>
      <c r="H669" s="39">
        <v>0</v>
      </c>
      <c r="I669" s="40">
        <v>312993</v>
      </c>
      <c r="J669" s="41">
        <v>7.775</v>
      </c>
      <c r="L669" s="39" t="s">
        <v>15</v>
      </c>
      <c r="M669" s="38">
        <f t="shared" si="10"/>
        <v>29.6991176470588</v>
      </c>
    </row>
    <row r="670" customHeight="1" spans="1:13">
      <c r="A670" s="39">
        <v>669</v>
      </c>
      <c r="B670" s="39">
        <v>0</v>
      </c>
      <c r="C670" s="39">
        <v>3</v>
      </c>
      <c r="D670" s="40" t="s">
        <v>940</v>
      </c>
      <c r="E670" s="40" t="s">
        <v>13</v>
      </c>
      <c r="F670" s="39">
        <v>43</v>
      </c>
      <c r="G670" s="39">
        <v>0</v>
      </c>
      <c r="H670" s="39">
        <v>0</v>
      </c>
      <c r="I670" s="40" t="s">
        <v>941</v>
      </c>
      <c r="J670" s="41">
        <v>8.05</v>
      </c>
      <c r="L670" s="39" t="s">
        <v>15</v>
      </c>
      <c r="M670" s="38">
        <f t="shared" si="10"/>
        <v>43</v>
      </c>
    </row>
    <row r="671" customHeight="1" spans="1:13">
      <c r="A671" s="39">
        <v>670</v>
      </c>
      <c r="B671" s="39">
        <v>1</v>
      </c>
      <c r="C671" s="39">
        <v>1</v>
      </c>
      <c r="D671" s="40" t="s">
        <v>942</v>
      </c>
      <c r="E671" s="40" t="s">
        <v>17</v>
      </c>
      <c r="G671" s="39">
        <v>1</v>
      </c>
      <c r="H671" s="39">
        <v>0</v>
      </c>
      <c r="I671" s="40">
        <v>19996</v>
      </c>
      <c r="J671" s="41">
        <v>52</v>
      </c>
      <c r="K671" s="42" t="s">
        <v>943</v>
      </c>
      <c r="L671" s="39" t="s">
        <v>15</v>
      </c>
      <c r="M671" s="38">
        <f t="shared" si="10"/>
        <v>29.6991176470588</v>
      </c>
    </row>
    <row r="672" customHeight="1" spans="1:13">
      <c r="A672" s="39">
        <v>671</v>
      </c>
      <c r="B672" s="39">
        <v>1</v>
      </c>
      <c r="C672" s="39">
        <v>2</v>
      </c>
      <c r="D672" s="40" t="s">
        <v>944</v>
      </c>
      <c r="E672" s="40" t="s">
        <v>17</v>
      </c>
      <c r="F672" s="39">
        <v>40</v>
      </c>
      <c r="G672" s="39">
        <v>1</v>
      </c>
      <c r="H672" s="39">
        <v>1</v>
      </c>
      <c r="I672" s="40">
        <v>29750</v>
      </c>
      <c r="J672" s="41">
        <v>39</v>
      </c>
      <c r="L672" s="39" t="s">
        <v>15</v>
      </c>
      <c r="M672" s="38">
        <f t="shared" si="10"/>
        <v>40</v>
      </c>
    </row>
    <row r="673" customHeight="1" spans="1:13">
      <c r="A673" s="39">
        <v>672</v>
      </c>
      <c r="B673" s="39">
        <v>0</v>
      </c>
      <c r="C673" s="39">
        <v>1</v>
      </c>
      <c r="D673" s="40" t="s">
        <v>945</v>
      </c>
      <c r="E673" s="40" t="s">
        <v>13</v>
      </c>
      <c r="F673" s="39">
        <v>31</v>
      </c>
      <c r="G673" s="39">
        <v>1</v>
      </c>
      <c r="H673" s="39">
        <v>0</v>
      </c>
      <c r="I673" s="40" t="s">
        <v>946</v>
      </c>
      <c r="J673" s="41">
        <v>52</v>
      </c>
      <c r="K673" s="42" t="s">
        <v>947</v>
      </c>
      <c r="L673" s="39" t="s">
        <v>15</v>
      </c>
      <c r="M673" s="38">
        <f t="shared" si="10"/>
        <v>31</v>
      </c>
    </row>
    <row r="674" customHeight="1" spans="1:13">
      <c r="A674" s="39">
        <v>673</v>
      </c>
      <c r="B674" s="39">
        <v>0</v>
      </c>
      <c r="C674" s="39">
        <v>2</v>
      </c>
      <c r="D674" s="40" t="s">
        <v>948</v>
      </c>
      <c r="E674" s="40" t="s">
        <v>13</v>
      </c>
      <c r="F674" s="39">
        <v>70</v>
      </c>
      <c r="G674" s="39">
        <v>0</v>
      </c>
      <c r="H674" s="39">
        <v>0</v>
      </c>
      <c r="I674" s="40" t="s">
        <v>949</v>
      </c>
      <c r="J674" s="41">
        <v>10.5</v>
      </c>
      <c r="L674" s="39" t="s">
        <v>15</v>
      </c>
      <c r="M674" s="38">
        <f t="shared" si="10"/>
        <v>70</v>
      </c>
    </row>
    <row r="675" customHeight="1" spans="1:13">
      <c r="A675" s="39">
        <v>674</v>
      </c>
      <c r="B675" s="39">
        <v>1</v>
      </c>
      <c r="C675" s="39">
        <v>2</v>
      </c>
      <c r="D675" s="40" t="s">
        <v>950</v>
      </c>
      <c r="E675" s="40" t="s">
        <v>13</v>
      </c>
      <c r="F675" s="39">
        <v>31</v>
      </c>
      <c r="G675" s="39">
        <v>0</v>
      </c>
      <c r="H675" s="39">
        <v>0</v>
      </c>
      <c r="I675" s="40">
        <v>244270</v>
      </c>
      <c r="J675" s="41">
        <v>13</v>
      </c>
      <c r="L675" s="39" t="s">
        <v>15</v>
      </c>
      <c r="M675" s="38">
        <f t="shared" si="10"/>
        <v>31</v>
      </c>
    </row>
    <row r="676" customHeight="1" spans="1:13">
      <c r="A676" s="39">
        <v>675</v>
      </c>
      <c r="B676" s="39">
        <v>0</v>
      </c>
      <c r="C676" s="39">
        <v>2</v>
      </c>
      <c r="D676" s="40" t="s">
        <v>951</v>
      </c>
      <c r="E676" s="40" t="s">
        <v>13</v>
      </c>
      <c r="G676" s="39">
        <v>0</v>
      </c>
      <c r="H676" s="39">
        <v>0</v>
      </c>
      <c r="I676" s="40">
        <v>239856</v>
      </c>
      <c r="J676" s="41">
        <v>0</v>
      </c>
      <c r="L676" s="39" t="s">
        <v>15</v>
      </c>
      <c r="M676" s="38">
        <f t="shared" si="10"/>
        <v>29.6991176470588</v>
      </c>
    </row>
    <row r="677" customHeight="1" spans="1:13">
      <c r="A677" s="39">
        <v>676</v>
      </c>
      <c r="B677" s="39">
        <v>0</v>
      </c>
      <c r="C677" s="39">
        <v>3</v>
      </c>
      <c r="D677" s="40" t="s">
        <v>952</v>
      </c>
      <c r="E677" s="40" t="s">
        <v>13</v>
      </c>
      <c r="F677" s="39">
        <v>18</v>
      </c>
      <c r="G677" s="39">
        <v>0</v>
      </c>
      <c r="H677" s="39">
        <v>0</v>
      </c>
      <c r="I677" s="40">
        <v>349912</v>
      </c>
      <c r="J677" s="41">
        <v>7.775</v>
      </c>
      <c r="L677" s="39" t="s">
        <v>15</v>
      </c>
      <c r="M677" s="38">
        <f t="shared" si="10"/>
        <v>18</v>
      </c>
    </row>
    <row r="678" customHeight="1" spans="1:13">
      <c r="A678" s="39">
        <v>677</v>
      </c>
      <c r="B678" s="39">
        <v>0</v>
      </c>
      <c r="C678" s="39">
        <v>3</v>
      </c>
      <c r="D678" s="40" t="s">
        <v>953</v>
      </c>
      <c r="E678" s="40" t="s">
        <v>13</v>
      </c>
      <c r="F678" s="39">
        <v>24.5</v>
      </c>
      <c r="G678" s="39">
        <v>0</v>
      </c>
      <c r="H678" s="39">
        <v>0</v>
      </c>
      <c r="I678" s="40">
        <v>342826</v>
      </c>
      <c r="J678" s="41">
        <v>8.05</v>
      </c>
      <c r="L678" s="39" t="s">
        <v>15</v>
      </c>
      <c r="M678" s="38">
        <f t="shared" si="10"/>
        <v>24.5</v>
      </c>
    </row>
    <row r="679" customHeight="1" spans="1:13">
      <c r="A679" s="39">
        <v>678</v>
      </c>
      <c r="B679" s="39">
        <v>1</v>
      </c>
      <c r="C679" s="39">
        <v>3</v>
      </c>
      <c r="D679" s="40" t="s">
        <v>954</v>
      </c>
      <c r="E679" s="40" t="s">
        <v>17</v>
      </c>
      <c r="F679" s="39">
        <v>18</v>
      </c>
      <c r="G679" s="39">
        <v>0</v>
      </c>
      <c r="H679" s="39">
        <v>0</v>
      </c>
      <c r="I679" s="40">
        <v>4138</v>
      </c>
      <c r="J679" s="41">
        <v>9.8417</v>
      </c>
      <c r="L679" s="39" t="s">
        <v>15</v>
      </c>
      <c r="M679" s="38">
        <f t="shared" si="10"/>
        <v>18</v>
      </c>
    </row>
    <row r="680" customHeight="1" spans="1:13">
      <c r="A680" s="39">
        <v>679</v>
      </c>
      <c r="B680" s="39">
        <v>0</v>
      </c>
      <c r="C680" s="39">
        <v>3</v>
      </c>
      <c r="D680" s="40" t="s">
        <v>955</v>
      </c>
      <c r="E680" s="40" t="s">
        <v>17</v>
      </c>
      <c r="F680" s="39">
        <v>43</v>
      </c>
      <c r="G680" s="39">
        <v>1</v>
      </c>
      <c r="H680" s="39">
        <v>6</v>
      </c>
      <c r="I680" s="40" t="s">
        <v>105</v>
      </c>
      <c r="J680" s="41">
        <v>46.9</v>
      </c>
      <c r="L680" s="39" t="s">
        <v>15</v>
      </c>
      <c r="M680" s="38">
        <f t="shared" si="10"/>
        <v>43</v>
      </c>
    </row>
    <row r="681" customHeight="1" spans="1:13">
      <c r="A681" s="39">
        <v>680</v>
      </c>
      <c r="B681" s="39">
        <v>1</v>
      </c>
      <c r="C681" s="39">
        <v>1</v>
      </c>
      <c r="D681" s="40" t="s">
        <v>956</v>
      </c>
      <c r="E681" s="40" t="s">
        <v>13</v>
      </c>
      <c r="F681" s="39">
        <v>36</v>
      </c>
      <c r="G681" s="39">
        <v>0</v>
      </c>
      <c r="H681" s="39">
        <v>1</v>
      </c>
      <c r="I681" s="40" t="s">
        <v>392</v>
      </c>
      <c r="J681" s="41">
        <v>512.3292</v>
      </c>
      <c r="K681" s="42" t="s">
        <v>957</v>
      </c>
      <c r="L681" s="39" t="s">
        <v>20</v>
      </c>
      <c r="M681" s="38">
        <f t="shared" si="10"/>
        <v>36</v>
      </c>
    </row>
    <row r="682" customHeight="1" spans="1:13">
      <c r="A682" s="39">
        <v>681</v>
      </c>
      <c r="B682" s="39">
        <v>0</v>
      </c>
      <c r="C682" s="39">
        <v>3</v>
      </c>
      <c r="D682" s="40" t="s">
        <v>958</v>
      </c>
      <c r="E682" s="40" t="s">
        <v>17</v>
      </c>
      <c r="G682" s="39">
        <v>0</v>
      </c>
      <c r="H682" s="39">
        <v>0</v>
      </c>
      <c r="I682" s="40">
        <v>330935</v>
      </c>
      <c r="J682" s="41">
        <v>8.1375</v>
      </c>
      <c r="L682" s="39" t="s">
        <v>27</v>
      </c>
      <c r="M682" s="38">
        <f t="shared" si="10"/>
        <v>29.6991176470588</v>
      </c>
    </row>
    <row r="683" customHeight="1" spans="1:13">
      <c r="A683" s="39">
        <v>682</v>
      </c>
      <c r="B683" s="39">
        <v>1</v>
      </c>
      <c r="C683" s="39">
        <v>1</v>
      </c>
      <c r="D683" s="40" t="s">
        <v>959</v>
      </c>
      <c r="E683" s="40" t="s">
        <v>13</v>
      </c>
      <c r="F683" s="39">
        <v>27</v>
      </c>
      <c r="G683" s="39">
        <v>0</v>
      </c>
      <c r="H683" s="39">
        <v>0</v>
      </c>
      <c r="I683" s="40" t="s">
        <v>92</v>
      </c>
      <c r="J683" s="41">
        <v>76.7292</v>
      </c>
      <c r="K683" s="42" t="s">
        <v>960</v>
      </c>
      <c r="L683" s="39" t="s">
        <v>20</v>
      </c>
      <c r="M683" s="38">
        <f t="shared" si="10"/>
        <v>27</v>
      </c>
    </row>
    <row r="684" customHeight="1" spans="1:13">
      <c r="A684" s="39">
        <v>683</v>
      </c>
      <c r="B684" s="39">
        <v>0</v>
      </c>
      <c r="C684" s="39">
        <v>3</v>
      </c>
      <c r="D684" s="40" t="s">
        <v>961</v>
      </c>
      <c r="E684" s="40" t="s">
        <v>13</v>
      </c>
      <c r="F684" s="39">
        <v>20</v>
      </c>
      <c r="G684" s="39">
        <v>0</v>
      </c>
      <c r="H684" s="39">
        <v>0</v>
      </c>
      <c r="I684" s="40">
        <v>6563</v>
      </c>
      <c r="J684" s="41">
        <v>9.225</v>
      </c>
      <c r="L684" s="39" t="s">
        <v>15</v>
      </c>
      <c r="M684" s="38">
        <f t="shared" si="10"/>
        <v>20</v>
      </c>
    </row>
    <row r="685" customHeight="1" spans="1:13">
      <c r="A685" s="39">
        <v>684</v>
      </c>
      <c r="B685" s="39">
        <v>0</v>
      </c>
      <c r="C685" s="39">
        <v>3</v>
      </c>
      <c r="D685" s="40" t="s">
        <v>962</v>
      </c>
      <c r="E685" s="40" t="s">
        <v>13</v>
      </c>
      <c r="F685" s="39">
        <v>14</v>
      </c>
      <c r="G685" s="39">
        <v>5</v>
      </c>
      <c r="H685" s="39">
        <v>2</v>
      </c>
      <c r="I685" s="40" t="s">
        <v>105</v>
      </c>
      <c r="J685" s="41">
        <v>46.9</v>
      </c>
      <c r="L685" s="39" t="s">
        <v>15</v>
      </c>
      <c r="M685" s="38">
        <f t="shared" si="10"/>
        <v>14</v>
      </c>
    </row>
    <row r="686" customHeight="1" spans="1:13">
      <c r="A686" s="39">
        <v>685</v>
      </c>
      <c r="B686" s="39">
        <v>0</v>
      </c>
      <c r="C686" s="39">
        <v>2</v>
      </c>
      <c r="D686" s="40" t="s">
        <v>963</v>
      </c>
      <c r="E686" s="40" t="s">
        <v>13</v>
      </c>
      <c r="F686" s="39">
        <v>60</v>
      </c>
      <c r="G686" s="39">
        <v>1</v>
      </c>
      <c r="H686" s="39">
        <v>1</v>
      </c>
      <c r="I686" s="40">
        <v>29750</v>
      </c>
      <c r="J686" s="41">
        <v>39</v>
      </c>
      <c r="L686" s="39" t="s">
        <v>15</v>
      </c>
      <c r="M686" s="38">
        <f t="shared" si="10"/>
        <v>60</v>
      </c>
    </row>
    <row r="687" customHeight="1" spans="1:13">
      <c r="A687" s="39">
        <v>686</v>
      </c>
      <c r="B687" s="39">
        <v>0</v>
      </c>
      <c r="C687" s="39">
        <v>2</v>
      </c>
      <c r="D687" s="40" t="s">
        <v>964</v>
      </c>
      <c r="E687" s="40" t="s">
        <v>13</v>
      </c>
      <c r="F687" s="39">
        <v>25</v>
      </c>
      <c r="G687" s="39">
        <v>1</v>
      </c>
      <c r="H687" s="39">
        <v>2</v>
      </c>
      <c r="I687" s="40" t="s">
        <v>80</v>
      </c>
      <c r="J687" s="41">
        <v>41.5792</v>
      </c>
      <c r="L687" s="39" t="s">
        <v>20</v>
      </c>
      <c r="M687" s="38">
        <f t="shared" si="10"/>
        <v>25</v>
      </c>
    </row>
    <row r="688" customHeight="1" spans="1:13">
      <c r="A688" s="39">
        <v>687</v>
      </c>
      <c r="B688" s="39">
        <v>0</v>
      </c>
      <c r="C688" s="39">
        <v>3</v>
      </c>
      <c r="D688" s="40" t="s">
        <v>965</v>
      </c>
      <c r="E688" s="40" t="s">
        <v>13</v>
      </c>
      <c r="F688" s="39">
        <v>14</v>
      </c>
      <c r="G688" s="39">
        <v>4</v>
      </c>
      <c r="H688" s="39">
        <v>1</v>
      </c>
      <c r="I688" s="40">
        <v>3101295</v>
      </c>
      <c r="J688" s="41">
        <v>39.6875</v>
      </c>
      <c r="L688" s="39" t="s">
        <v>15</v>
      </c>
      <c r="M688" s="38">
        <f t="shared" si="10"/>
        <v>14</v>
      </c>
    </row>
    <row r="689" customHeight="1" spans="1:13">
      <c r="A689" s="39">
        <v>688</v>
      </c>
      <c r="B689" s="39">
        <v>0</v>
      </c>
      <c r="C689" s="39">
        <v>3</v>
      </c>
      <c r="D689" s="40" t="s">
        <v>966</v>
      </c>
      <c r="E689" s="40" t="s">
        <v>13</v>
      </c>
      <c r="F689" s="39">
        <v>19</v>
      </c>
      <c r="G689" s="39">
        <v>0</v>
      </c>
      <c r="H689" s="39">
        <v>0</v>
      </c>
      <c r="I689" s="40">
        <v>349228</v>
      </c>
      <c r="J689" s="41">
        <v>10.1708</v>
      </c>
      <c r="L689" s="39" t="s">
        <v>15</v>
      </c>
      <c r="M689" s="38">
        <f t="shared" si="10"/>
        <v>19</v>
      </c>
    </row>
    <row r="690" customHeight="1" spans="1:13">
      <c r="A690" s="39">
        <v>689</v>
      </c>
      <c r="B690" s="39">
        <v>0</v>
      </c>
      <c r="C690" s="39">
        <v>3</v>
      </c>
      <c r="D690" s="40" t="s">
        <v>967</v>
      </c>
      <c r="E690" s="40" t="s">
        <v>13</v>
      </c>
      <c r="F690" s="39">
        <v>18</v>
      </c>
      <c r="G690" s="39">
        <v>0</v>
      </c>
      <c r="H690" s="39">
        <v>0</v>
      </c>
      <c r="I690" s="40">
        <v>350036</v>
      </c>
      <c r="J690" s="41">
        <v>7.7958</v>
      </c>
      <c r="L690" s="39" t="s">
        <v>15</v>
      </c>
      <c r="M690" s="38">
        <f t="shared" si="10"/>
        <v>18</v>
      </c>
    </row>
    <row r="691" customHeight="1" spans="1:13">
      <c r="A691" s="39">
        <v>690</v>
      </c>
      <c r="B691" s="39">
        <v>1</v>
      </c>
      <c r="C691" s="39">
        <v>1</v>
      </c>
      <c r="D691" s="40" t="s">
        <v>968</v>
      </c>
      <c r="E691" s="40" t="s">
        <v>17</v>
      </c>
      <c r="F691" s="39">
        <v>15</v>
      </c>
      <c r="G691" s="39">
        <v>0</v>
      </c>
      <c r="H691" s="39">
        <v>1</v>
      </c>
      <c r="I691" s="40">
        <v>24160</v>
      </c>
      <c r="J691" s="41">
        <v>211.3375</v>
      </c>
      <c r="K691" s="42" t="s">
        <v>969</v>
      </c>
      <c r="L691" s="39" t="s">
        <v>15</v>
      </c>
      <c r="M691" s="38">
        <f t="shared" si="10"/>
        <v>15</v>
      </c>
    </row>
    <row r="692" customHeight="1" spans="1:13">
      <c r="A692" s="39">
        <v>691</v>
      </c>
      <c r="B692" s="39">
        <v>1</v>
      </c>
      <c r="C692" s="39">
        <v>1</v>
      </c>
      <c r="D692" s="40" t="s">
        <v>970</v>
      </c>
      <c r="E692" s="40" t="s">
        <v>13</v>
      </c>
      <c r="F692" s="39">
        <v>31</v>
      </c>
      <c r="G692" s="39">
        <v>1</v>
      </c>
      <c r="H692" s="39">
        <v>0</v>
      </c>
      <c r="I692" s="40">
        <v>17474</v>
      </c>
      <c r="J692" s="41">
        <v>57</v>
      </c>
      <c r="K692" s="42" t="s">
        <v>971</v>
      </c>
      <c r="L692" s="39" t="s">
        <v>15</v>
      </c>
      <c r="M692" s="38">
        <f t="shared" si="10"/>
        <v>31</v>
      </c>
    </row>
    <row r="693" customHeight="1" spans="1:13">
      <c r="A693" s="39">
        <v>692</v>
      </c>
      <c r="B693" s="39">
        <v>1</v>
      </c>
      <c r="C693" s="39">
        <v>3</v>
      </c>
      <c r="D693" s="40" t="s">
        <v>972</v>
      </c>
      <c r="E693" s="40" t="s">
        <v>17</v>
      </c>
      <c r="F693" s="39">
        <v>4</v>
      </c>
      <c r="G693" s="39">
        <v>0</v>
      </c>
      <c r="H693" s="39">
        <v>1</v>
      </c>
      <c r="I693" s="40">
        <v>349256</v>
      </c>
      <c r="J693" s="41">
        <v>13.4167</v>
      </c>
      <c r="L693" s="39" t="s">
        <v>20</v>
      </c>
      <c r="M693" s="38">
        <f t="shared" si="10"/>
        <v>4</v>
      </c>
    </row>
    <row r="694" customHeight="1" spans="1:13">
      <c r="A694" s="39">
        <v>693</v>
      </c>
      <c r="B694" s="39">
        <v>1</v>
      </c>
      <c r="C694" s="39">
        <v>3</v>
      </c>
      <c r="D694" s="40" t="s">
        <v>973</v>
      </c>
      <c r="E694" s="40" t="s">
        <v>13</v>
      </c>
      <c r="G694" s="39">
        <v>0</v>
      </c>
      <c r="H694" s="39">
        <v>0</v>
      </c>
      <c r="I694" s="40">
        <v>1601</v>
      </c>
      <c r="J694" s="41">
        <v>56.4958</v>
      </c>
      <c r="L694" s="39" t="s">
        <v>15</v>
      </c>
      <c r="M694" s="38">
        <f t="shared" si="10"/>
        <v>29.6991176470588</v>
      </c>
    </row>
    <row r="695" customHeight="1" spans="1:13">
      <c r="A695" s="39">
        <v>694</v>
      </c>
      <c r="B695" s="39">
        <v>0</v>
      </c>
      <c r="C695" s="39">
        <v>3</v>
      </c>
      <c r="D695" s="40" t="s">
        <v>974</v>
      </c>
      <c r="E695" s="40" t="s">
        <v>13</v>
      </c>
      <c r="F695" s="39">
        <v>25</v>
      </c>
      <c r="G695" s="39">
        <v>0</v>
      </c>
      <c r="H695" s="39">
        <v>0</v>
      </c>
      <c r="I695" s="40">
        <v>2672</v>
      </c>
      <c r="J695" s="41">
        <v>7.225</v>
      </c>
      <c r="L695" s="39" t="s">
        <v>20</v>
      </c>
      <c r="M695" s="38">
        <f t="shared" si="10"/>
        <v>25</v>
      </c>
    </row>
    <row r="696" customHeight="1" spans="1:13">
      <c r="A696" s="39">
        <v>695</v>
      </c>
      <c r="B696" s="39">
        <v>0</v>
      </c>
      <c r="C696" s="39">
        <v>1</v>
      </c>
      <c r="D696" s="40" t="s">
        <v>975</v>
      </c>
      <c r="E696" s="40" t="s">
        <v>13</v>
      </c>
      <c r="F696" s="39">
        <v>60</v>
      </c>
      <c r="G696" s="39">
        <v>0</v>
      </c>
      <c r="H696" s="39">
        <v>0</v>
      </c>
      <c r="I696" s="40">
        <v>113800</v>
      </c>
      <c r="J696" s="41">
        <v>26.55</v>
      </c>
      <c r="L696" s="39" t="s">
        <v>15</v>
      </c>
      <c r="M696" s="38">
        <f t="shared" si="10"/>
        <v>60</v>
      </c>
    </row>
    <row r="697" customHeight="1" spans="1:13">
      <c r="A697" s="39">
        <v>696</v>
      </c>
      <c r="B697" s="39">
        <v>0</v>
      </c>
      <c r="C697" s="39">
        <v>2</v>
      </c>
      <c r="D697" s="40" t="s">
        <v>976</v>
      </c>
      <c r="E697" s="40" t="s">
        <v>13</v>
      </c>
      <c r="F697" s="39">
        <v>52</v>
      </c>
      <c r="G697" s="39">
        <v>0</v>
      </c>
      <c r="H697" s="39">
        <v>0</v>
      </c>
      <c r="I697" s="40">
        <v>248731</v>
      </c>
      <c r="J697" s="41">
        <v>13.5</v>
      </c>
      <c r="L697" s="39" t="s">
        <v>15</v>
      </c>
      <c r="M697" s="38">
        <f t="shared" si="10"/>
        <v>52</v>
      </c>
    </row>
    <row r="698" customHeight="1" spans="1:13">
      <c r="A698" s="39">
        <v>697</v>
      </c>
      <c r="B698" s="39">
        <v>0</v>
      </c>
      <c r="C698" s="39">
        <v>3</v>
      </c>
      <c r="D698" s="40" t="s">
        <v>977</v>
      </c>
      <c r="E698" s="40" t="s">
        <v>13</v>
      </c>
      <c r="F698" s="39">
        <v>44</v>
      </c>
      <c r="G698" s="39">
        <v>0</v>
      </c>
      <c r="H698" s="39">
        <v>0</v>
      </c>
      <c r="I698" s="40">
        <v>363592</v>
      </c>
      <c r="J698" s="41">
        <v>8.05</v>
      </c>
      <c r="L698" s="39" t="s">
        <v>15</v>
      </c>
      <c r="M698" s="38">
        <f t="shared" si="10"/>
        <v>44</v>
      </c>
    </row>
    <row r="699" customHeight="1" spans="1:13">
      <c r="A699" s="39">
        <v>698</v>
      </c>
      <c r="B699" s="39">
        <v>1</v>
      </c>
      <c r="C699" s="39">
        <v>3</v>
      </c>
      <c r="D699" s="40" t="s">
        <v>978</v>
      </c>
      <c r="E699" s="40" t="s">
        <v>17</v>
      </c>
      <c r="G699" s="39">
        <v>0</v>
      </c>
      <c r="H699" s="39">
        <v>0</v>
      </c>
      <c r="I699" s="40">
        <v>35852</v>
      </c>
      <c r="J699" s="41">
        <v>7.7333</v>
      </c>
      <c r="L699" s="39" t="s">
        <v>27</v>
      </c>
      <c r="M699" s="38">
        <f t="shared" si="10"/>
        <v>29.6991176470588</v>
      </c>
    </row>
    <row r="700" customHeight="1" spans="1:13">
      <c r="A700" s="39">
        <v>699</v>
      </c>
      <c r="B700" s="39">
        <v>0</v>
      </c>
      <c r="C700" s="39">
        <v>1</v>
      </c>
      <c r="D700" s="40" t="s">
        <v>979</v>
      </c>
      <c r="E700" s="40" t="s">
        <v>13</v>
      </c>
      <c r="F700" s="39">
        <v>49</v>
      </c>
      <c r="G700" s="39">
        <v>1</v>
      </c>
      <c r="H700" s="39">
        <v>1</v>
      </c>
      <c r="I700" s="40">
        <v>17421</v>
      </c>
      <c r="J700" s="41">
        <v>110.8833</v>
      </c>
      <c r="K700" s="42" t="s">
        <v>832</v>
      </c>
      <c r="L700" s="39" t="s">
        <v>20</v>
      </c>
      <c r="M700" s="38">
        <f t="shared" si="10"/>
        <v>49</v>
      </c>
    </row>
    <row r="701" customHeight="1" spans="1:13">
      <c r="A701" s="39">
        <v>700</v>
      </c>
      <c r="B701" s="39">
        <v>0</v>
      </c>
      <c r="C701" s="39">
        <v>3</v>
      </c>
      <c r="D701" s="40" t="s">
        <v>980</v>
      </c>
      <c r="E701" s="40" t="s">
        <v>13</v>
      </c>
      <c r="F701" s="39">
        <v>42</v>
      </c>
      <c r="G701" s="39">
        <v>0</v>
      </c>
      <c r="H701" s="39">
        <v>0</v>
      </c>
      <c r="I701" s="40">
        <v>348121</v>
      </c>
      <c r="J701" s="41">
        <v>7.65</v>
      </c>
      <c r="K701" s="42" t="s">
        <v>981</v>
      </c>
      <c r="L701" s="39" t="s">
        <v>15</v>
      </c>
      <c r="M701" s="38">
        <f t="shared" si="10"/>
        <v>42</v>
      </c>
    </row>
    <row r="702" customHeight="1" spans="1:13">
      <c r="A702" s="39">
        <v>701</v>
      </c>
      <c r="B702" s="39">
        <v>1</v>
      </c>
      <c r="C702" s="39">
        <v>1</v>
      </c>
      <c r="D702" s="40" t="s">
        <v>982</v>
      </c>
      <c r="E702" s="40" t="s">
        <v>17</v>
      </c>
      <c r="F702" s="39">
        <v>18</v>
      </c>
      <c r="G702" s="39">
        <v>1</v>
      </c>
      <c r="H702" s="39">
        <v>0</v>
      </c>
      <c r="I702" s="40" t="s">
        <v>565</v>
      </c>
      <c r="J702" s="41">
        <v>227.525</v>
      </c>
      <c r="K702" s="42" t="s">
        <v>983</v>
      </c>
      <c r="L702" s="39" t="s">
        <v>20</v>
      </c>
      <c r="M702" s="38">
        <f t="shared" si="10"/>
        <v>18</v>
      </c>
    </row>
    <row r="703" customHeight="1" spans="1:13">
      <c r="A703" s="39">
        <v>702</v>
      </c>
      <c r="B703" s="39">
        <v>1</v>
      </c>
      <c r="C703" s="39">
        <v>1</v>
      </c>
      <c r="D703" s="40" t="s">
        <v>984</v>
      </c>
      <c r="E703" s="40" t="s">
        <v>13</v>
      </c>
      <c r="F703" s="39">
        <v>35</v>
      </c>
      <c r="G703" s="39">
        <v>0</v>
      </c>
      <c r="H703" s="39">
        <v>0</v>
      </c>
      <c r="I703" s="40" t="s">
        <v>985</v>
      </c>
      <c r="J703" s="41">
        <v>26.2875</v>
      </c>
      <c r="K703" s="42" t="s">
        <v>986</v>
      </c>
      <c r="L703" s="39" t="s">
        <v>15</v>
      </c>
      <c r="M703" s="38">
        <f t="shared" si="10"/>
        <v>35</v>
      </c>
    </row>
    <row r="704" customHeight="1" spans="1:13">
      <c r="A704" s="39">
        <v>703</v>
      </c>
      <c r="B704" s="39">
        <v>0</v>
      </c>
      <c r="C704" s="39">
        <v>3</v>
      </c>
      <c r="D704" s="40" t="s">
        <v>987</v>
      </c>
      <c r="E704" s="40" t="s">
        <v>17</v>
      </c>
      <c r="F704" s="39">
        <v>18</v>
      </c>
      <c r="G704" s="39">
        <v>0</v>
      </c>
      <c r="H704" s="39">
        <v>1</v>
      </c>
      <c r="I704" s="40">
        <v>2691</v>
      </c>
      <c r="J704" s="41">
        <v>14.4542</v>
      </c>
      <c r="L704" s="39" t="s">
        <v>20</v>
      </c>
      <c r="M704" s="38">
        <f t="shared" si="10"/>
        <v>18</v>
      </c>
    </row>
    <row r="705" customHeight="1" spans="1:13">
      <c r="A705" s="39">
        <v>704</v>
      </c>
      <c r="B705" s="39">
        <v>0</v>
      </c>
      <c r="C705" s="39">
        <v>3</v>
      </c>
      <c r="D705" s="40" t="s">
        <v>988</v>
      </c>
      <c r="E705" s="40" t="s">
        <v>13</v>
      </c>
      <c r="F705" s="39">
        <v>25</v>
      </c>
      <c r="G705" s="39">
        <v>0</v>
      </c>
      <c r="H705" s="39">
        <v>0</v>
      </c>
      <c r="I705" s="40">
        <v>36864</v>
      </c>
      <c r="J705" s="41">
        <v>7.7417</v>
      </c>
      <c r="L705" s="39" t="s">
        <v>27</v>
      </c>
      <c r="M705" s="38">
        <f t="shared" si="10"/>
        <v>25</v>
      </c>
    </row>
    <row r="706" customHeight="1" spans="1:13">
      <c r="A706" s="39">
        <v>705</v>
      </c>
      <c r="B706" s="39">
        <v>0</v>
      </c>
      <c r="C706" s="39">
        <v>3</v>
      </c>
      <c r="D706" s="40" t="s">
        <v>989</v>
      </c>
      <c r="E706" s="40" t="s">
        <v>13</v>
      </c>
      <c r="F706" s="39">
        <v>26</v>
      </c>
      <c r="G706" s="39">
        <v>1</v>
      </c>
      <c r="H706" s="39">
        <v>0</v>
      </c>
      <c r="I706" s="40">
        <v>350025</v>
      </c>
      <c r="J706" s="41">
        <v>7.8542</v>
      </c>
      <c r="L706" s="39" t="s">
        <v>15</v>
      </c>
      <c r="M706" s="38">
        <f t="shared" ref="M706:M769" si="11">IF(F706="",AVERAGE($F$2:$F$892),F706)</f>
        <v>26</v>
      </c>
    </row>
    <row r="707" customHeight="1" spans="1:13">
      <c r="A707" s="39">
        <v>706</v>
      </c>
      <c r="B707" s="39">
        <v>0</v>
      </c>
      <c r="C707" s="39">
        <v>2</v>
      </c>
      <c r="D707" s="40" t="s">
        <v>990</v>
      </c>
      <c r="E707" s="40" t="s">
        <v>13</v>
      </c>
      <c r="F707" s="39">
        <v>39</v>
      </c>
      <c r="G707" s="39">
        <v>0</v>
      </c>
      <c r="H707" s="39">
        <v>0</v>
      </c>
      <c r="I707" s="40">
        <v>250655</v>
      </c>
      <c r="J707" s="41">
        <v>26</v>
      </c>
      <c r="L707" s="39" t="s">
        <v>15</v>
      </c>
      <c r="M707" s="38">
        <f t="shared" si="11"/>
        <v>39</v>
      </c>
    </row>
    <row r="708" customHeight="1" spans="1:13">
      <c r="A708" s="39">
        <v>707</v>
      </c>
      <c r="B708" s="39">
        <v>1</v>
      </c>
      <c r="C708" s="39">
        <v>2</v>
      </c>
      <c r="D708" s="40" t="s">
        <v>991</v>
      </c>
      <c r="E708" s="40" t="s">
        <v>17</v>
      </c>
      <c r="F708" s="39">
        <v>45</v>
      </c>
      <c r="G708" s="39">
        <v>0</v>
      </c>
      <c r="H708" s="39">
        <v>0</v>
      </c>
      <c r="I708" s="40">
        <v>223596</v>
      </c>
      <c r="J708" s="41">
        <v>13.5</v>
      </c>
      <c r="L708" s="39" t="s">
        <v>15</v>
      </c>
      <c r="M708" s="38">
        <f t="shared" si="11"/>
        <v>45</v>
      </c>
    </row>
    <row r="709" customHeight="1" spans="1:13">
      <c r="A709" s="39">
        <v>708</v>
      </c>
      <c r="B709" s="39">
        <v>1</v>
      </c>
      <c r="C709" s="39">
        <v>1</v>
      </c>
      <c r="D709" s="40" t="s">
        <v>992</v>
      </c>
      <c r="E709" s="40" t="s">
        <v>13</v>
      </c>
      <c r="F709" s="39">
        <v>42</v>
      </c>
      <c r="G709" s="39">
        <v>0</v>
      </c>
      <c r="H709" s="39">
        <v>0</v>
      </c>
      <c r="I709" s="40" t="s">
        <v>993</v>
      </c>
      <c r="J709" s="41">
        <v>26.2875</v>
      </c>
      <c r="K709" s="42" t="s">
        <v>986</v>
      </c>
      <c r="L709" s="39" t="s">
        <v>15</v>
      </c>
      <c r="M709" s="38">
        <f t="shared" si="11"/>
        <v>42</v>
      </c>
    </row>
    <row r="710" customHeight="1" spans="1:13">
      <c r="A710" s="39">
        <v>709</v>
      </c>
      <c r="B710" s="39">
        <v>1</v>
      </c>
      <c r="C710" s="39">
        <v>1</v>
      </c>
      <c r="D710" s="40" t="s">
        <v>994</v>
      </c>
      <c r="E710" s="40" t="s">
        <v>17</v>
      </c>
      <c r="F710" s="39">
        <v>22</v>
      </c>
      <c r="G710" s="39">
        <v>0</v>
      </c>
      <c r="H710" s="39">
        <v>0</v>
      </c>
      <c r="I710" s="40">
        <v>113781</v>
      </c>
      <c r="J710" s="41">
        <v>151.55</v>
      </c>
      <c r="L710" s="39" t="s">
        <v>15</v>
      </c>
      <c r="M710" s="38">
        <f t="shared" si="11"/>
        <v>22</v>
      </c>
    </row>
    <row r="711" customHeight="1" spans="1:13">
      <c r="A711" s="39">
        <v>710</v>
      </c>
      <c r="B711" s="39">
        <v>1</v>
      </c>
      <c r="C711" s="39">
        <v>3</v>
      </c>
      <c r="D711" s="40" t="s">
        <v>995</v>
      </c>
      <c r="E711" s="40" t="s">
        <v>13</v>
      </c>
      <c r="G711" s="39">
        <v>1</v>
      </c>
      <c r="H711" s="39">
        <v>1</v>
      </c>
      <c r="I711" s="40">
        <v>2661</v>
      </c>
      <c r="J711" s="41">
        <v>15.2458</v>
      </c>
      <c r="L711" s="39" t="s">
        <v>20</v>
      </c>
      <c r="M711" s="38">
        <f t="shared" si="11"/>
        <v>29.6991176470588</v>
      </c>
    </row>
    <row r="712" customHeight="1" spans="1:13">
      <c r="A712" s="39">
        <v>711</v>
      </c>
      <c r="B712" s="39">
        <v>1</v>
      </c>
      <c r="C712" s="39">
        <v>1</v>
      </c>
      <c r="D712" s="40" t="s">
        <v>996</v>
      </c>
      <c r="E712" s="40" t="s">
        <v>17</v>
      </c>
      <c r="F712" s="39">
        <v>24</v>
      </c>
      <c r="G712" s="39">
        <v>0</v>
      </c>
      <c r="H712" s="39">
        <v>0</v>
      </c>
      <c r="I712" s="40" t="s">
        <v>997</v>
      </c>
      <c r="J712" s="41">
        <v>49.5042</v>
      </c>
      <c r="K712" s="42" t="s">
        <v>998</v>
      </c>
      <c r="L712" s="39" t="s">
        <v>20</v>
      </c>
      <c r="M712" s="38">
        <f t="shared" si="11"/>
        <v>24</v>
      </c>
    </row>
    <row r="713" customHeight="1" spans="1:13">
      <c r="A713" s="39">
        <v>712</v>
      </c>
      <c r="B713" s="39">
        <v>0</v>
      </c>
      <c r="C713" s="39">
        <v>1</v>
      </c>
      <c r="D713" s="40" t="s">
        <v>999</v>
      </c>
      <c r="E713" s="40" t="s">
        <v>13</v>
      </c>
      <c r="G713" s="39">
        <v>0</v>
      </c>
      <c r="H713" s="39">
        <v>0</v>
      </c>
      <c r="I713" s="40">
        <v>113028</v>
      </c>
      <c r="J713" s="41">
        <v>26.55</v>
      </c>
      <c r="K713" s="42" t="s">
        <v>500</v>
      </c>
      <c r="L713" s="39" t="s">
        <v>15</v>
      </c>
      <c r="M713" s="38">
        <f t="shared" si="11"/>
        <v>29.6991176470588</v>
      </c>
    </row>
    <row r="714" customHeight="1" spans="1:13">
      <c r="A714" s="39">
        <v>713</v>
      </c>
      <c r="B714" s="39">
        <v>1</v>
      </c>
      <c r="C714" s="39">
        <v>1</v>
      </c>
      <c r="D714" s="40" t="s">
        <v>1000</v>
      </c>
      <c r="E714" s="40" t="s">
        <v>13</v>
      </c>
      <c r="F714" s="39">
        <v>48</v>
      </c>
      <c r="G714" s="39">
        <v>1</v>
      </c>
      <c r="H714" s="39">
        <v>0</v>
      </c>
      <c r="I714" s="40">
        <v>19996</v>
      </c>
      <c r="J714" s="41">
        <v>52</v>
      </c>
      <c r="K714" s="42" t="s">
        <v>943</v>
      </c>
      <c r="L714" s="39" t="s">
        <v>15</v>
      </c>
      <c r="M714" s="38">
        <f t="shared" si="11"/>
        <v>48</v>
      </c>
    </row>
    <row r="715" customHeight="1" spans="1:13">
      <c r="A715" s="39">
        <v>714</v>
      </c>
      <c r="B715" s="39">
        <v>0</v>
      </c>
      <c r="C715" s="39">
        <v>3</v>
      </c>
      <c r="D715" s="40" t="s">
        <v>1001</v>
      </c>
      <c r="E715" s="40" t="s">
        <v>13</v>
      </c>
      <c r="F715" s="39">
        <v>29</v>
      </c>
      <c r="G715" s="39">
        <v>0</v>
      </c>
      <c r="H715" s="39">
        <v>0</v>
      </c>
      <c r="I715" s="40">
        <v>7545</v>
      </c>
      <c r="J715" s="41">
        <v>9.4833</v>
      </c>
      <c r="L715" s="39" t="s">
        <v>15</v>
      </c>
      <c r="M715" s="38">
        <f t="shared" si="11"/>
        <v>29</v>
      </c>
    </row>
    <row r="716" customHeight="1" spans="1:13">
      <c r="A716" s="39">
        <v>715</v>
      </c>
      <c r="B716" s="39">
        <v>0</v>
      </c>
      <c r="C716" s="39">
        <v>2</v>
      </c>
      <c r="D716" s="40" t="s">
        <v>1002</v>
      </c>
      <c r="E716" s="40" t="s">
        <v>13</v>
      </c>
      <c r="F716" s="39">
        <v>52</v>
      </c>
      <c r="G716" s="39">
        <v>0</v>
      </c>
      <c r="H716" s="39">
        <v>0</v>
      </c>
      <c r="I716" s="40">
        <v>250647</v>
      </c>
      <c r="J716" s="41">
        <v>13</v>
      </c>
      <c r="L716" s="39" t="s">
        <v>15</v>
      </c>
      <c r="M716" s="38">
        <f t="shared" si="11"/>
        <v>52</v>
      </c>
    </row>
    <row r="717" customHeight="1" spans="1:13">
      <c r="A717" s="39">
        <v>716</v>
      </c>
      <c r="B717" s="39">
        <v>0</v>
      </c>
      <c r="C717" s="39">
        <v>3</v>
      </c>
      <c r="D717" s="40" t="s">
        <v>1003</v>
      </c>
      <c r="E717" s="40" t="s">
        <v>13</v>
      </c>
      <c r="F717" s="39">
        <v>19</v>
      </c>
      <c r="G717" s="39">
        <v>0</v>
      </c>
      <c r="H717" s="39">
        <v>0</v>
      </c>
      <c r="I717" s="40">
        <v>348124</v>
      </c>
      <c r="J717" s="41">
        <v>7.65</v>
      </c>
      <c r="K717" s="42" t="s">
        <v>130</v>
      </c>
      <c r="L717" s="39" t="s">
        <v>15</v>
      </c>
      <c r="M717" s="38">
        <f t="shared" si="11"/>
        <v>19</v>
      </c>
    </row>
    <row r="718" customHeight="1" spans="1:13">
      <c r="A718" s="39">
        <v>717</v>
      </c>
      <c r="B718" s="39">
        <v>1</v>
      </c>
      <c r="C718" s="39">
        <v>1</v>
      </c>
      <c r="D718" s="40" t="s">
        <v>1004</v>
      </c>
      <c r="E718" s="40" t="s">
        <v>17</v>
      </c>
      <c r="F718" s="39">
        <v>38</v>
      </c>
      <c r="G718" s="39">
        <v>0</v>
      </c>
      <c r="H718" s="39">
        <v>0</v>
      </c>
      <c r="I718" s="40" t="s">
        <v>565</v>
      </c>
      <c r="J718" s="41">
        <v>227.525</v>
      </c>
      <c r="K718" s="42" t="s">
        <v>1005</v>
      </c>
      <c r="L718" s="39" t="s">
        <v>20</v>
      </c>
      <c r="M718" s="38">
        <f t="shared" si="11"/>
        <v>38</v>
      </c>
    </row>
    <row r="719" customHeight="1" spans="1:13">
      <c r="A719" s="39">
        <v>718</v>
      </c>
      <c r="B719" s="39">
        <v>1</v>
      </c>
      <c r="C719" s="39">
        <v>2</v>
      </c>
      <c r="D719" s="40" t="s">
        <v>1006</v>
      </c>
      <c r="E719" s="40" t="s">
        <v>17</v>
      </c>
      <c r="F719" s="39">
        <v>27</v>
      </c>
      <c r="G719" s="39">
        <v>0</v>
      </c>
      <c r="H719" s="39">
        <v>0</v>
      </c>
      <c r="I719" s="40">
        <v>34218</v>
      </c>
      <c r="J719" s="41">
        <v>10.5</v>
      </c>
      <c r="K719" s="42" t="s">
        <v>195</v>
      </c>
      <c r="L719" s="39" t="s">
        <v>15</v>
      </c>
      <c r="M719" s="38">
        <f t="shared" si="11"/>
        <v>27</v>
      </c>
    </row>
    <row r="720" customHeight="1" spans="1:13">
      <c r="A720" s="39">
        <v>719</v>
      </c>
      <c r="B720" s="39">
        <v>0</v>
      </c>
      <c r="C720" s="39">
        <v>3</v>
      </c>
      <c r="D720" s="40" t="s">
        <v>1007</v>
      </c>
      <c r="E720" s="40" t="s">
        <v>13</v>
      </c>
      <c r="G720" s="39">
        <v>0</v>
      </c>
      <c r="H720" s="39">
        <v>0</v>
      </c>
      <c r="I720" s="40">
        <v>36568</v>
      </c>
      <c r="J720" s="41">
        <v>15.5</v>
      </c>
      <c r="L720" s="39" t="s">
        <v>27</v>
      </c>
      <c r="M720" s="38">
        <f t="shared" si="11"/>
        <v>29.6991176470588</v>
      </c>
    </row>
    <row r="721" customHeight="1" spans="1:13">
      <c r="A721" s="39">
        <v>720</v>
      </c>
      <c r="B721" s="39">
        <v>0</v>
      </c>
      <c r="C721" s="39">
        <v>3</v>
      </c>
      <c r="D721" s="40" t="s">
        <v>1008</v>
      </c>
      <c r="E721" s="40" t="s">
        <v>13</v>
      </c>
      <c r="F721" s="39">
        <v>33</v>
      </c>
      <c r="G721" s="39">
        <v>0</v>
      </c>
      <c r="H721" s="39">
        <v>0</v>
      </c>
      <c r="I721" s="40">
        <v>347062</v>
      </c>
      <c r="J721" s="41">
        <v>7.775</v>
      </c>
      <c r="L721" s="39" t="s">
        <v>15</v>
      </c>
      <c r="M721" s="38">
        <f t="shared" si="11"/>
        <v>33</v>
      </c>
    </row>
    <row r="722" customHeight="1" spans="1:13">
      <c r="A722" s="39">
        <v>721</v>
      </c>
      <c r="B722" s="39">
        <v>1</v>
      </c>
      <c r="C722" s="39">
        <v>2</v>
      </c>
      <c r="D722" s="40" t="s">
        <v>1009</v>
      </c>
      <c r="E722" s="40" t="s">
        <v>17</v>
      </c>
      <c r="F722" s="39">
        <v>6</v>
      </c>
      <c r="G722" s="39">
        <v>0</v>
      </c>
      <c r="H722" s="39">
        <v>1</v>
      </c>
      <c r="I722" s="40">
        <v>248727</v>
      </c>
      <c r="J722" s="41">
        <v>33</v>
      </c>
      <c r="L722" s="39" t="s">
        <v>15</v>
      </c>
      <c r="M722" s="38">
        <f t="shared" si="11"/>
        <v>6</v>
      </c>
    </row>
    <row r="723" customHeight="1" spans="1:13">
      <c r="A723" s="39">
        <v>722</v>
      </c>
      <c r="B723" s="39">
        <v>0</v>
      </c>
      <c r="C723" s="39">
        <v>3</v>
      </c>
      <c r="D723" s="40" t="s">
        <v>1010</v>
      </c>
      <c r="E723" s="40" t="s">
        <v>13</v>
      </c>
      <c r="F723" s="39">
        <v>17</v>
      </c>
      <c r="G723" s="39">
        <v>1</v>
      </c>
      <c r="H723" s="39">
        <v>0</v>
      </c>
      <c r="I723" s="40">
        <v>350048</v>
      </c>
      <c r="J723" s="41">
        <v>7.0542</v>
      </c>
      <c r="L723" s="39" t="s">
        <v>15</v>
      </c>
      <c r="M723" s="38">
        <f t="shared" si="11"/>
        <v>17</v>
      </c>
    </row>
    <row r="724" customHeight="1" spans="1:13">
      <c r="A724" s="39">
        <v>723</v>
      </c>
      <c r="B724" s="39">
        <v>0</v>
      </c>
      <c r="C724" s="39">
        <v>2</v>
      </c>
      <c r="D724" s="40" t="s">
        <v>1011</v>
      </c>
      <c r="E724" s="40" t="s">
        <v>13</v>
      </c>
      <c r="F724" s="39">
        <v>34</v>
      </c>
      <c r="G724" s="39">
        <v>0</v>
      </c>
      <c r="H724" s="39">
        <v>0</v>
      </c>
      <c r="I724" s="40">
        <v>12233</v>
      </c>
      <c r="J724" s="41">
        <v>13</v>
      </c>
      <c r="L724" s="39" t="s">
        <v>15</v>
      </c>
      <c r="M724" s="38">
        <f t="shared" si="11"/>
        <v>34</v>
      </c>
    </row>
    <row r="725" customHeight="1" spans="1:13">
      <c r="A725" s="39">
        <v>724</v>
      </c>
      <c r="B725" s="39">
        <v>0</v>
      </c>
      <c r="C725" s="39">
        <v>2</v>
      </c>
      <c r="D725" s="40" t="s">
        <v>1012</v>
      </c>
      <c r="E725" s="40" t="s">
        <v>13</v>
      </c>
      <c r="F725" s="39">
        <v>50</v>
      </c>
      <c r="G725" s="39">
        <v>0</v>
      </c>
      <c r="H725" s="39">
        <v>0</v>
      </c>
      <c r="I725" s="40">
        <v>250643</v>
      </c>
      <c r="J725" s="41">
        <v>13</v>
      </c>
      <c r="L725" s="39" t="s">
        <v>15</v>
      </c>
      <c r="M725" s="38">
        <f t="shared" si="11"/>
        <v>50</v>
      </c>
    </row>
    <row r="726" customHeight="1" spans="1:13">
      <c r="A726" s="39">
        <v>725</v>
      </c>
      <c r="B726" s="39">
        <v>1</v>
      </c>
      <c r="C726" s="39">
        <v>1</v>
      </c>
      <c r="D726" s="40" t="s">
        <v>1013</v>
      </c>
      <c r="E726" s="40" t="s">
        <v>13</v>
      </c>
      <c r="F726" s="39">
        <v>27</v>
      </c>
      <c r="G726" s="39">
        <v>1</v>
      </c>
      <c r="H726" s="39">
        <v>0</v>
      </c>
      <c r="I726" s="40">
        <v>113806</v>
      </c>
      <c r="J726" s="41">
        <v>53.1</v>
      </c>
      <c r="K726" s="42" t="s">
        <v>1014</v>
      </c>
      <c r="L726" s="39" t="s">
        <v>15</v>
      </c>
      <c r="M726" s="38">
        <f t="shared" si="11"/>
        <v>27</v>
      </c>
    </row>
    <row r="727" customHeight="1" spans="1:13">
      <c r="A727" s="39">
        <v>726</v>
      </c>
      <c r="B727" s="39">
        <v>0</v>
      </c>
      <c r="C727" s="39">
        <v>3</v>
      </c>
      <c r="D727" s="40" t="s">
        <v>1015</v>
      </c>
      <c r="E727" s="40" t="s">
        <v>13</v>
      </c>
      <c r="F727" s="39">
        <v>20</v>
      </c>
      <c r="G727" s="39">
        <v>0</v>
      </c>
      <c r="H727" s="39">
        <v>0</v>
      </c>
      <c r="I727" s="40">
        <v>315094</v>
      </c>
      <c r="J727" s="41">
        <v>8.6625</v>
      </c>
      <c r="L727" s="39" t="s">
        <v>15</v>
      </c>
      <c r="M727" s="38">
        <f t="shared" si="11"/>
        <v>20</v>
      </c>
    </row>
    <row r="728" customHeight="1" spans="1:13">
      <c r="A728" s="39">
        <v>727</v>
      </c>
      <c r="B728" s="39">
        <v>1</v>
      </c>
      <c r="C728" s="39">
        <v>2</v>
      </c>
      <c r="D728" s="40" t="s">
        <v>1016</v>
      </c>
      <c r="E728" s="40" t="s">
        <v>17</v>
      </c>
      <c r="F728" s="39">
        <v>30</v>
      </c>
      <c r="G728" s="39">
        <v>3</v>
      </c>
      <c r="H728" s="39">
        <v>0</v>
      </c>
      <c r="I728" s="40">
        <v>31027</v>
      </c>
      <c r="J728" s="41">
        <v>21</v>
      </c>
      <c r="L728" s="39" t="s">
        <v>15</v>
      </c>
      <c r="M728" s="38">
        <f t="shared" si="11"/>
        <v>30</v>
      </c>
    </row>
    <row r="729" customHeight="1" spans="1:13">
      <c r="A729" s="39">
        <v>728</v>
      </c>
      <c r="B729" s="39">
        <v>1</v>
      </c>
      <c r="C729" s="39">
        <v>3</v>
      </c>
      <c r="D729" s="40" t="s">
        <v>1017</v>
      </c>
      <c r="E729" s="40" t="s">
        <v>17</v>
      </c>
      <c r="G729" s="39">
        <v>0</v>
      </c>
      <c r="H729" s="39">
        <v>0</v>
      </c>
      <c r="I729" s="40">
        <v>36866</v>
      </c>
      <c r="J729" s="41">
        <v>7.7375</v>
      </c>
      <c r="L729" s="39" t="s">
        <v>27</v>
      </c>
      <c r="M729" s="38">
        <f t="shared" si="11"/>
        <v>29.6991176470588</v>
      </c>
    </row>
    <row r="730" customHeight="1" spans="1:13">
      <c r="A730" s="39">
        <v>729</v>
      </c>
      <c r="B730" s="39">
        <v>0</v>
      </c>
      <c r="C730" s="39">
        <v>2</v>
      </c>
      <c r="D730" s="40" t="s">
        <v>1018</v>
      </c>
      <c r="E730" s="40" t="s">
        <v>13</v>
      </c>
      <c r="F730" s="39">
        <v>25</v>
      </c>
      <c r="G730" s="39">
        <v>1</v>
      </c>
      <c r="H730" s="39">
        <v>0</v>
      </c>
      <c r="I730" s="40">
        <v>236853</v>
      </c>
      <c r="J730" s="41">
        <v>26</v>
      </c>
      <c r="L730" s="39" t="s">
        <v>15</v>
      </c>
      <c r="M730" s="38">
        <f t="shared" si="11"/>
        <v>25</v>
      </c>
    </row>
    <row r="731" customHeight="1" spans="1:13">
      <c r="A731" s="39">
        <v>730</v>
      </c>
      <c r="B731" s="39">
        <v>0</v>
      </c>
      <c r="C731" s="39">
        <v>3</v>
      </c>
      <c r="D731" s="40" t="s">
        <v>1019</v>
      </c>
      <c r="E731" s="40" t="s">
        <v>17</v>
      </c>
      <c r="F731" s="39">
        <v>25</v>
      </c>
      <c r="G731" s="39">
        <v>1</v>
      </c>
      <c r="H731" s="39">
        <v>0</v>
      </c>
      <c r="I731" s="40" t="s">
        <v>1020</v>
      </c>
      <c r="J731" s="41">
        <v>7.925</v>
      </c>
      <c r="L731" s="39" t="s">
        <v>15</v>
      </c>
      <c r="M731" s="38">
        <f t="shared" si="11"/>
        <v>25</v>
      </c>
    </row>
    <row r="732" customHeight="1" spans="1:13">
      <c r="A732" s="39">
        <v>731</v>
      </c>
      <c r="B732" s="39">
        <v>1</v>
      </c>
      <c r="C732" s="39">
        <v>1</v>
      </c>
      <c r="D732" s="40" t="s">
        <v>1021</v>
      </c>
      <c r="E732" s="40" t="s">
        <v>17</v>
      </c>
      <c r="F732" s="39">
        <v>29</v>
      </c>
      <c r="G732" s="39">
        <v>0</v>
      </c>
      <c r="H732" s="39">
        <v>0</v>
      </c>
      <c r="I732" s="40">
        <v>24160</v>
      </c>
      <c r="J732" s="41">
        <v>211.3375</v>
      </c>
      <c r="K732" s="42" t="s">
        <v>969</v>
      </c>
      <c r="L732" s="39" t="s">
        <v>15</v>
      </c>
      <c r="M732" s="38">
        <f t="shared" si="11"/>
        <v>29</v>
      </c>
    </row>
    <row r="733" customHeight="1" spans="1:13">
      <c r="A733" s="39">
        <v>732</v>
      </c>
      <c r="B733" s="39">
        <v>0</v>
      </c>
      <c r="C733" s="39">
        <v>3</v>
      </c>
      <c r="D733" s="40" t="s">
        <v>1022</v>
      </c>
      <c r="E733" s="40" t="s">
        <v>13</v>
      </c>
      <c r="F733" s="39">
        <v>11</v>
      </c>
      <c r="G733" s="39">
        <v>0</v>
      </c>
      <c r="H733" s="39">
        <v>0</v>
      </c>
      <c r="I733" s="40">
        <v>2699</v>
      </c>
      <c r="J733" s="41">
        <v>18.7875</v>
      </c>
      <c r="L733" s="39" t="s">
        <v>20</v>
      </c>
      <c r="M733" s="38">
        <f t="shared" si="11"/>
        <v>11</v>
      </c>
    </row>
    <row r="734" customHeight="1" spans="1:13">
      <c r="A734" s="39">
        <v>733</v>
      </c>
      <c r="B734" s="39">
        <v>0</v>
      </c>
      <c r="C734" s="39">
        <v>2</v>
      </c>
      <c r="D734" s="40" t="s">
        <v>1023</v>
      </c>
      <c r="E734" s="40" t="s">
        <v>13</v>
      </c>
      <c r="G734" s="39">
        <v>0</v>
      </c>
      <c r="H734" s="39">
        <v>0</v>
      </c>
      <c r="I734" s="40">
        <v>239855</v>
      </c>
      <c r="J734" s="41">
        <v>0</v>
      </c>
      <c r="L734" s="39" t="s">
        <v>15</v>
      </c>
      <c r="M734" s="38">
        <f t="shared" si="11"/>
        <v>29.6991176470588</v>
      </c>
    </row>
    <row r="735" customHeight="1" spans="1:13">
      <c r="A735" s="39">
        <v>734</v>
      </c>
      <c r="B735" s="39">
        <v>0</v>
      </c>
      <c r="C735" s="39">
        <v>2</v>
      </c>
      <c r="D735" s="40" t="s">
        <v>1024</v>
      </c>
      <c r="E735" s="40" t="s">
        <v>13</v>
      </c>
      <c r="F735" s="39">
        <v>23</v>
      </c>
      <c r="G735" s="39">
        <v>0</v>
      </c>
      <c r="H735" s="39">
        <v>0</v>
      </c>
      <c r="I735" s="40">
        <v>28425</v>
      </c>
      <c r="J735" s="41">
        <v>13</v>
      </c>
      <c r="L735" s="39" t="s">
        <v>15</v>
      </c>
      <c r="M735" s="38">
        <f t="shared" si="11"/>
        <v>23</v>
      </c>
    </row>
    <row r="736" customHeight="1" spans="1:13">
      <c r="A736" s="39">
        <v>735</v>
      </c>
      <c r="B736" s="39">
        <v>0</v>
      </c>
      <c r="C736" s="39">
        <v>2</v>
      </c>
      <c r="D736" s="40" t="s">
        <v>1025</v>
      </c>
      <c r="E736" s="40" t="s">
        <v>13</v>
      </c>
      <c r="F736" s="39">
        <v>23</v>
      </c>
      <c r="G736" s="39">
        <v>0</v>
      </c>
      <c r="H736" s="39">
        <v>0</v>
      </c>
      <c r="I736" s="40">
        <v>233639</v>
      </c>
      <c r="J736" s="41">
        <v>13</v>
      </c>
      <c r="L736" s="39" t="s">
        <v>15</v>
      </c>
      <c r="M736" s="38">
        <f t="shared" si="11"/>
        <v>23</v>
      </c>
    </row>
    <row r="737" customHeight="1" spans="1:13">
      <c r="A737" s="39">
        <v>736</v>
      </c>
      <c r="B737" s="39">
        <v>0</v>
      </c>
      <c r="C737" s="39">
        <v>3</v>
      </c>
      <c r="D737" s="40" t="s">
        <v>1026</v>
      </c>
      <c r="E737" s="40" t="s">
        <v>13</v>
      </c>
      <c r="F737" s="39">
        <v>28.5</v>
      </c>
      <c r="G737" s="39">
        <v>0</v>
      </c>
      <c r="H737" s="39">
        <v>0</v>
      </c>
      <c r="I737" s="40">
        <v>54636</v>
      </c>
      <c r="J737" s="41">
        <v>16.1</v>
      </c>
      <c r="L737" s="39" t="s">
        <v>15</v>
      </c>
      <c r="M737" s="38">
        <f t="shared" si="11"/>
        <v>28.5</v>
      </c>
    </row>
    <row r="738" customHeight="1" spans="1:13">
      <c r="A738" s="39">
        <v>737</v>
      </c>
      <c r="B738" s="39">
        <v>0</v>
      </c>
      <c r="C738" s="39">
        <v>3</v>
      </c>
      <c r="D738" s="40" t="s">
        <v>1027</v>
      </c>
      <c r="E738" s="40" t="s">
        <v>17</v>
      </c>
      <c r="F738" s="39">
        <v>48</v>
      </c>
      <c r="G738" s="39">
        <v>1</v>
      </c>
      <c r="H738" s="39">
        <v>3</v>
      </c>
      <c r="I738" s="40" t="s">
        <v>143</v>
      </c>
      <c r="J738" s="41">
        <v>34.375</v>
      </c>
      <c r="L738" s="39" t="s">
        <v>15</v>
      </c>
      <c r="M738" s="38">
        <f t="shared" si="11"/>
        <v>48</v>
      </c>
    </row>
    <row r="739" customHeight="1" spans="1:13">
      <c r="A739" s="39">
        <v>738</v>
      </c>
      <c r="B739" s="39">
        <v>1</v>
      </c>
      <c r="C739" s="39">
        <v>1</v>
      </c>
      <c r="D739" s="40" t="s">
        <v>1028</v>
      </c>
      <c r="E739" s="40" t="s">
        <v>13</v>
      </c>
      <c r="F739" s="39">
        <v>35</v>
      </c>
      <c r="G739" s="39">
        <v>0</v>
      </c>
      <c r="H739" s="39">
        <v>0</v>
      </c>
      <c r="I739" s="40" t="s">
        <v>392</v>
      </c>
      <c r="J739" s="41">
        <v>512.3292</v>
      </c>
      <c r="K739" s="42" t="s">
        <v>1029</v>
      </c>
      <c r="L739" s="39" t="s">
        <v>20</v>
      </c>
      <c r="M739" s="38">
        <f t="shared" si="11"/>
        <v>35</v>
      </c>
    </row>
    <row r="740" customHeight="1" spans="1:13">
      <c r="A740" s="39">
        <v>739</v>
      </c>
      <c r="B740" s="39">
        <v>0</v>
      </c>
      <c r="C740" s="39">
        <v>3</v>
      </c>
      <c r="D740" s="40" t="s">
        <v>1030</v>
      </c>
      <c r="E740" s="40" t="s">
        <v>13</v>
      </c>
      <c r="G740" s="39">
        <v>0</v>
      </c>
      <c r="H740" s="39">
        <v>0</v>
      </c>
      <c r="I740" s="40">
        <v>349201</v>
      </c>
      <c r="J740" s="41">
        <v>7.8958</v>
      </c>
      <c r="L740" s="39" t="s">
        <v>15</v>
      </c>
      <c r="M740" s="38">
        <f t="shared" si="11"/>
        <v>29.6991176470588</v>
      </c>
    </row>
    <row r="741" customHeight="1" spans="1:13">
      <c r="A741" s="39">
        <v>740</v>
      </c>
      <c r="B741" s="39">
        <v>0</v>
      </c>
      <c r="C741" s="39">
        <v>3</v>
      </c>
      <c r="D741" s="40" t="s">
        <v>1031</v>
      </c>
      <c r="E741" s="40" t="s">
        <v>13</v>
      </c>
      <c r="G741" s="39">
        <v>0</v>
      </c>
      <c r="H741" s="39">
        <v>0</v>
      </c>
      <c r="I741" s="40">
        <v>349218</v>
      </c>
      <c r="J741" s="41">
        <v>7.8958</v>
      </c>
      <c r="L741" s="39" t="s">
        <v>15</v>
      </c>
      <c r="M741" s="38">
        <f t="shared" si="11"/>
        <v>29.6991176470588</v>
      </c>
    </row>
    <row r="742" customHeight="1" spans="1:13">
      <c r="A742" s="39">
        <v>741</v>
      </c>
      <c r="B742" s="39">
        <v>1</v>
      </c>
      <c r="C742" s="39">
        <v>1</v>
      </c>
      <c r="D742" s="40" t="s">
        <v>1032</v>
      </c>
      <c r="E742" s="40" t="s">
        <v>13</v>
      </c>
      <c r="G742" s="39">
        <v>0</v>
      </c>
      <c r="H742" s="39">
        <v>0</v>
      </c>
      <c r="I742" s="40">
        <v>16988</v>
      </c>
      <c r="J742" s="41">
        <v>30</v>
      </c>
      <c r="K742" s="42" t="s">
        <v>1033</v>
      </c>
      <c r="L742" s="39" t="s">
        <v>15</v>
      </c>
      <c r="M742" s="38">
        <f t="shared" si="11"/>
        <v>29.6991176470588</v>
      </c>
    </row>
    <row r="743" customHeight="1" spans="1:13">
      <c r="A743" s="39">
        <v>742</v>
      </c>
      <c r="B743" s="39">
        <v>0</v>
      </c>
      <c r="C743" s="39">
        <v>1</v>
      </c>
      <c r="D743" s="40" t="s">
        <v>1034</v>
      </c>
      <c r="E743" s="40" t="s">
        <v>13</v>
      </c>
      <c r="F743" s="39">
        <v>36</v>
      </c>
      <c r="G743" s="39">
        <v>1</v>
      </c>
      <c r="H743" s="39">
        <v>0</v>
      </c>
      <c r="I743" s="40">
        <v>19877</v>
      </c>
      <c r="J743" s="41">
        <v>78.85</v>
      </c>
      <c r="K743" s="42" t="s">
        <v>1035</v>
      </c>
      <c r="L743" s="39" t="s">
        <v>15</v>
      </c>
      <c r="M743" s="38">
        <f t="shared" si="11"/>
        <v>36</v>
      </c>
    </row>
    <row r="744" customHeight="1" spans="1:13">
      <c r="A744" s="39">
        <v>743</v>
      </c>
      <c r="B744" s="39">
        <v>1</v>
      </c>
      <c r="C744" s="39">
        <v>1</v>
      </c>
      <c r="D744" s="40" t="s">
        <v>1036</v>
      </c>
      <c r="E744" s="40" t="s">
        <v>17</v>
      </c>
      <c r="F744" s="39">
        <v>21</v>
      </c>
      <c r="G744" s="39">
        <v>2</v>
      </c>
      <c r="H744" s="39">
        <v>2</v>
      </c>
      <c r="I744" s="40" t="s">
        <v>472</v>
      </c>
      <c r="J744" s="41">
        <v>262.375</v>
      </c>
      <c r="K744" s="42" t="s">
        <v>473</v>
      </c>
      <c r="L744" s="39" t="s">
        <v>20</v>
      </c>
      <c r="M744" s="38">
        <f t="shared" si="11"/>
        <v>21</v>
      </c>
    </row>
    <row r="745" customHeight="1" spans="1:13">
      <c r="A745" s="39">
        <v>744</v>
      </c>
      <c r="B745" s="39">
        <v>0</v>
      </c>
      <c r="C745" s="39">
        <v>3</v>
      </c>
      <c r="D745" s="40" t="s">
        <v>1037</v>
      </c>
      <c r="E745" s="40" t="s">
        <v>13</v>
      </c>
      <c r="F745" s="39">
        <v>24</v>
      </c>
      <c r="G745" s="39">
        <v>1</v>
      </c>
      <c r="H745" s="39">
        <v>0</v>
      </c>
      <c r="I745" s="40">
        <v>376566</v>
      </c>
      <c r="J745" s="41">
        <v>16.1</v>
      </c>
      <c r="L745" s="39" t="s">
        <v>15</v>
      </c>
      <c r="M745" s="38">
        <f t="shared" si="11"/>
        <v>24</v>
      </c>
    </row>
    <row r="746" customHeight="1" spans="1:13">
      <c r="A746" s="39">
        <v>745</v>
      </c>
      <c r="B746" s="39">
        <v>1</v>
      </c>
      <c r="C746" s="39">
        <v>3</v>
      </c>
      <c r="D746" s="40" t="s">
        <v>1038</v>
      </c>
      <c r="E746" s="40" t="s">
        <v>13</v>
      </c>
      <c r="F746" s="39">
        <v>31</v>
      </c>
      <c r="G746" s="39">
        <v>0</v>
      </c>
      <c r="H746" s="39">
        <v>0</v>
      </c>
      <c r="I746" s="40" t="s">
        <v>1039</v>
      </c>
      <c r="J746" s="41">
        <v>7.925</v>
      </c>
      <c r="L746" s="39" t="s">
        <v>15</v>
      </c>
      <c r="M746" s="38">
        <f t="shared" si="11"/>
        <v>31</v>
      </c>
    </row>
    <row r="747" customHeight="1" spans="1:13">
      <c r="A747" s="39">
        <v>746</v>
      </c>
      <c r="B747" s="39">
        <v>0</v>
      </c>
      <c r="C747" s="39">
        <v>1</v>
      </c>
      <c r="D747" s="40" t="s">
        <v>1040</v>
      </c>
      <c r="E747" s="40" t="s">
        <v>13</v>
      </c>
      <c r="F747" s="39">
        <v>70</v>
      </c>
      <c r="G747" s="39">
        <v>1</v>
      </c>
      <c r="H747" s="39">
        <v>1</v>
      </c>
      <c r="I747" s="40" t="s">
        <v>777</v>
      </c>
      <c r="J747" s="41">
        <v>71</v>
      </c>
      <c r="K747" s="42" t="s">
        <v>778</v>
      </c>
      <c r="L747" s="39" t="s">
        <v>15</v>
      </c>
      <c r="M747" s="38">
        <f t="shared" si="11"/>
        <v>70</v>
      </c>
    </row>
    <row r="748" customHeight="1" spans="1:13">
      <c r="A748" s="39">
        <v>747</v>
      </c>
      <c r="B748" s="39">
        <v>0</v>
      </c>
      <c r="C748" s="39">
        <v>3</v>
      </c>
      <c r="D748" s="40" t="s">
        <v>1041</v>
      </c>
      <c r="E748" s="40" t="s">
        <v>13</v>
      </c>
      <c r="F748" s="39">
        <v>16</v>
      </c>
      <c r="G748" s="39">
        <v>1</v>
      </c>
      <c r="H748" s="39">
        <v>1</v>
      </c>
      <c r="I748" s="40" t="s">
        <v>424</v>
      </c>
      <c r="J748" s="41">
        <v>20.25</v>
      </c>
      <c r="L748" s="39" t="s">
        <v>15</v>
      </c>
      <c r="M748" s="38">
        <f t="shared" si="11"/>
        <v>16</v>
      </c>
    </row>
    <row r="749" customHeight="1" spans="1:13">
      <c r="A749" s="39">
        <v>748</v>
      </c>
      <c r="B749" s="39">
        <v>1</v>
      </c>
      <c r="C749" s="39">
        <v>2</v>
      </c>
      <c r="D749" s="40" t="s">
        <v>1042</v>
      </c>
      <c r="E749" s="40" t="s">
        <v>17</v>
      </c>
      <c r="F749" s="39">
        <v>30</v>
      </c>
      <c r="G749" s="39">
        <v>0</v>
      </c>
      <c r="H749" s="39">
        <v>0</v>
      </c>
      <c r="I749" s="40">
        <v>250648</v>
      </c>
      <c r="J749" s="41">
        <v>13</v>
      </c>
      <c r="L749" s="39" t="s">
        <v>15</v>
      </c>
      <c r="M749" s="38">
        <f t="shared" si="11"/>
        <v>30</v>
      </c>
    </row>
    <row r="750" customHeight="1" spans="1:13">
      <c r="A750" s="39">
        <v>749</v>
      </c>
      <c r="B750" s="39">
        <v>0</v>
      </c>
      <c r="C750" s="39">
        <v>1</v>
      </c>
      <c r="D750" s="40" t="s">
        <v>1043</v>
      </c>
      <c r="E750" s="40" t="s">
        <v>13</v>
      </c>
      <c r="F750" s="39">
        <v>19</v>
      </c>
      <c r="G750" s="39">
        <v>1</v>
      </c>
      <c r="H750" s="39">
        <v>0</v>
      </c>
      <c r="I750" s="40">
        <v>113773</v>
      </c>
      <c r="J750" s="41">
        <v>53.1</v>
      </c>
      <c r="K750" s="42" t="s">
        <v>1044</v>
      </c>
      <c r="L750" s="39" t="s">
        <v>15</v>
      </c>
      <c r="M750" s="38">
        <f t="shared" si="11"/>
        <v>19</v>
      </c>
    </row>
    <row r="751" customHeight="1" spans="1:13">
      <c r="A751" s="39">
        <v>750</v>
      </c>
      <c r="B751" s="39">
        <v>0</v>
      </c>
      <c r="C751" s="39">
        <v>3</v>
      </c>
      <c r="D751" s="40" t="s">
        <v>1045</v>
      </c>
      <c r="E751" s="40" t="s">
        <v>13</v>
      </c>
      <c r="F751" s="39">
        <v>31</v>
      </c>
      <c r="G751" s="39">
        <v>0</v>
      </c>
      <c r="H751" s="39">
        <v>0</v>
      </c>
      <c r="I751" s="40">
        <v>335097</v>
      </c>
      <c r="J751" s="41">
        <v>7.75</v>
      </c>
      <c r="L751" s="39" t="s">
        <v>27</v>
      </c>
      <c r="M751" s="38">
        <f t="shared" si="11"/>
        <v>31</v>
      </c>
    </row>
    <row r="752" customHeight="1" spans="1:13">
      <c r="A752" s="39">
        <v>751</v>
      </c>
      <c r="B752" s="39">
        <v>1</v>
      </c>
      <c r="C752" s="39">
        <v>2</v>
      </c>
      <c r="D752" s="40" t="s">
        <v>1046</v>
      </c>
      <c r="E752" s="40" t="s">
        <v>17</v>
      </c>
      <c r="F752" s="39">
        <v>4</v>
      </c>
      <c r="G752" s="39">
        <v>1</v>
      </c>
      <c r="H752" s="39">
        <v>1</v>
      </c>
      <c r="I752" s="40">
        <v>29103</v>
      </c>
      <c r="J752" s="41">
        <v>23</v>
      </c>
      <c r="L752" s="39" t="s">
        <v>15</v>
      </c>
      <c r="M752" s="38">
        <f t="shared" si="11"/>
        <v>4</v>
      </c>
    </row>
    <row r="753" customHeight="1" spans="1:13">
      <c r="A753" s="39">
        <v>752</v>
      </c>
      <c r="B753" s="39">
        <v>1</v>
      </c>
      <c r="C753" s="39">
        <v>3</v>
      </c>
      <c r="D753" s="40" t="s">
        <v>1047</v>
      </c>
      <c r="E753" s="40" t="s">
        <v>13</v>
      </c>
      <c r="F753" s="39">
        <v>6</v>
      </c>
      <c r="G753" s="39">
        <v>0</v>
      </c>
      <c r="H753" s="39">
        <v>1</v>
      </c>
      <c r="I753" s="40">
        <v>392096</v>
      </c>
      <c r="J753" s="41">
        <v>12.475</v>
      </c>
      <c r="K753" s="42" t="s">
        <v>1048</v>
      </c>
      <c r="L753" s="39" t="s">
        <v>15</v>
      </c>
      <c r="M753" s="38">
        <f t="shared" si="11"/>
        <v>6</v>
      </c>
    </row>
    <row r="754" customHeight="1" spans="1:13">
      <c r="A754" s="39">
        <v>753</v>
      </c>
      <c r="B754" s="39">
        <v>0</v>
      </c>
      <c r="C754" s="39">
        <v>3</v>
      </c>
      <c r="D754" s="40" t="s">
        <v>1049</v>
      </c>
      <c r="E754" s="40" t="s">
        <v>13</v>
      </c>
      <c r="F754" s="39">
        <v>33</v>
      </c>
      <c r="G754" s="39">
        <v>0</v>
      </c>
      <c r="H754" s="39">
        <v>0</v>
      </c>
      <c r="I754" s="40">
        <v>345780</v>
      </c>
      <c r="J754" s="41">
        <v>9.5</v>
      </c>
      <c r="L754" s="39" t="s">
        <v>15</v>
      </c>
      <c r="M754" s="38">
        <f t="shared" si="11"/>
        <v>33</v>
      </c>
    </row>
    <row r="755" customHeight="1" spans="1:13">
      <c r="A755" s="39">
        <v>754</v>
      </c>
      <c r="B755" s="39">
        <v>0</v>
      </c>
      <c r="C755" s="39">
        <v>3</v>
      </c>
      <c r="D755" s="40" t="s">
        <v>1050</v>
      </c>
      <c r="E755" s="40" t="s">
        <v>13</v>
      </c>
      <c r="F755" s="39">
        <v>23</v>
      </c>
      <c r="G755" s="39">
        <v>0</v>
      </c>
      <c r="H755" s="39">
        <v>0</v>
      </c>
      <c r="I755" s="40">
        <v>349204</v>
      </c>
      <c r="J755" s="41">
        <v>7.8958</v>
      </c>
      <c r="L755" s="39" t="s">
        <v>15</v>
      </c>
      <c r="M755" s="38">
        <f t="shared" si="11"/>
        <v>23</v>
      </c>
    </row>
    <row r="756" customHeight="1" spans="1:13">
      <c r="A756" s="39">
        <v>755</v>
      </c>
      <c r="B756" s="39">
        <v>1</v>
      </c>
      <c r="C756" s="39">
        <v>2</v>
      </c>
      <c r="D756" s="40" t="s">
        <v>1051</v>
      </c>
      <c r="E756" s="40" t="s">
        <v>17</v>
      </c>
      <c r="F756" s="39">
        <v>48</v>
      </c>
      <c r="G756" s="39">
        <v>1</v>
      </c>
      <c r="H756" s="39">
        <v>2</v>
      </c>
      <c r="I756" s="40">
        <v>220845</v>
      </c>
      <c r="J756" s="41">
        <v>65</v>
      </c>
      <c r="L756" s="39" t="s">
        <v>15</v>
      </c>
      <c r="M756" s="38">
        <f t="shared" si="11"/>
        <v>48</v>
      </c>
    </row>
    <row r="757" customHeight="1" spans="1:13">
      <c r="A757" s="39">
        <v>756</v>
      </c>
      <c r="B757" s="39">
        <v>1</v>
      </c>
      <c r="C757" s="39">
        <v>2</v>
      </c>
      <c r="D757" s="40" t="s">
        <v>1052</v>
      </c>
      <c r="E757" s="40" t="s">
        <v>13</v>
      </c>
      <c r="F757" s="39">
        <v>0.67</v>
      </c>
      <c r="G757" s="39">
        <v>1</v>
      </c>
      <c r="H757" s="39">
        <v>1</v>
      </c>
      <c r="I757" s="40">
        <v>250649</v>
      </c>
      <c r="J757" s="41">
        <v>14.5</v>
      </c>
      <c r="L757" s="39" t="s">
        <v>15</v>
      </c>
      <c r="M757" s="38">
        <f t="shared" si="11"/>
        <v>0.67</v>
      </c>
    </row>
    <row r="758" customHeight="1" spans="1:13">
      <c r="A758" s="39">
        <v>757</v>
      </c>
      <c r="B758" s="39">
        <v>0</v>
      </c>
      <c r="C758" s="39">
        <v>3</v>
      </c>
      <c r="D758" s="40" t="s">
        <v>1053</v>
      </c>
      <c r="E758" s="40" t="s">
        <v>13</v>
      </c>
      <c r="F758" s="39">
        <v>28</v>
      </c>
      <c r="G758" s="39">
        <v>0</v>
      </c>
      <c r="H758" s="39">
        <v>0</v>
      </c>
      <c r="I758" s="40">
        <v>350042</v>
      </c>
      <c r="J758" s="41">
        <v>7.7958</v>
      </c>
      <c r="L758" s="39" t="s">
        <v>15</v>
      </c>
      <c r="M758" s="38">
        <f t="shared" si="11"/>
        <v>28</v>
      </c>
    </row>
    <row r="759" customHeight="1" spans="1:13">
      <c r="A759" s="39">
        <v>758</v>
      </c>
      <c r="B759" s="39">
        <v>0</v>
      </c>
      <c r="C759" s="39">
        <v>2</v>
      </c>
      <c r="D759" s="40" t="s">
        <v>1054</v>
      </c>
      <c r="E759" s="40" t="s">
        <v>13</v>
      </c>
      <c r="F759" s="39">
        <v>18</v>
      </c>
      <c r="G759" s="39">
        <v>0</v>
      </c>
      <c r="H759" s="39">
        <v>0</v>
      </c>
      <c r="I759" s="40">
        <v>29108</v>
      </c>
      <c r="J759" s="41">
        <v>11.5</v>
      </c>
      <c r="L759" s="39" t="s">
        <v>15</v>
      </c>
      <c r="M759" s="38">
        <f t="shared" si="11"/>
        <v>18</v>
      </c>
    </row>
    <row r="760" customHeight="1" spans="1:13">
      <c r="A760" s="39">
        <v>759</v>
      </c>
      <c r="B760" s="39">
        <v>0</v>
      </c>
      <c r="C760" s="39">
        <v>3</v>
      </c>
      <c r="D760" s="40" t="s">
        <v>1055</v>
      </c>
      <c r="E760" s="40" t="s">
        <v>13</v>
      </c>
      <c r="F760" s="39">
        <v>34</v>
      </c>
      <c r="G760" s="39">
        <v>0</v>
      </c>
      <c r="H760" s="39">
        <v>0</v>
      </c>
      <c r="I760" s="40">
        <v>363294</v>
      </c>
      <c r="J760" s="41">
        <v>8.05</v>
      </c>
      <c r="L760" s="39" t="s">
        <v>15</v>
      </c>
      <c r="M760" s="38">
        <f t="shared" si="11"/>
        <v>34</v>
      </c>
    </row>
    <row r="761" customHeight="1" spans="1:13">
      <c r="A761" s="39">
        <v>760</v>
      </c>
      <c r="B761" s="39">
        <v>1</v>
      </c>
      <c r="C761" s="39">
        <v>1</v>
      </c>
      <c r="D761" s="40" t="s">
        <v>1056</v>
      </c>
      <c r="E761" s="40" t="s">
        <v>17</v>
      </c>
      <c r="F761" s="39">
        <v>33</v>
      </c>
      <c r="G761" s="39">
        <v>0</v>
      </c>
      <c r="H761" s="39">
        <v>0</v>
      </c>
      <c r="I761" s="40">
        <v>110152</v>
      </c>
      <c r="J761" s="41">
        <v>86.5</v>
      </c>
      <c r="K761" s="42" t="s">
        <v>390</v>
      </c>
      <c r="L761" s="39" t="s">
        <v>15</v>
      </c>
      <c r="M761" s="38">
        <f t="shared" si="11"/>
        <v>33</v>
      </c>
    </row>
    <row r="762" customHeight="1" spans="1:13">
      <c r="A762" s="39">
        <v>761</v>
      </c>
      <c r="B762" s="39">
        <v>0</v>
      </c>
      <c r="C762" s="39">
        <v>3</v>
      </c>
      <c r="D762" s="40" t="s">
        <v>1057</v>
      </c>
      <c r="E762" s="40" t="s">
        <v>13</v>
      </c>
      <c r="G762" s="39">
        <v>0</v>
      </c>
      <c r="H762" s="39">
        <v>0</v>
      </c>
      <c r="I762" s="40">
        <v>358585</v>
      </c>
      <c r="J762" s="41">
        <v>14.5</v>
      </c>
      <c r="L762" s="39" t="s">
        <v>15</v>
      </c>
      <c r="M762" s="38">
        <f t="shared" si="11"/>
        <v>29.6991176470588</v>
      </c>
    </row>
    <row r="763" customHeight="1" spans="1:13">
      <c r="A763" s="39">
        <v>762</v>
      </c>
      <c r="B763" s="39">
        <v>0</v>
      </c>
      <c r="C763" s="39">
        <v>3</v>
      </c>
      <c r="D763" s="40" t="s">
        <v>1058</v>
      </c>
      <c r="E763" s="40" t="s">
        <v>13</v>
      </c>
      <c r="F763" s="39">
        <v>41</v>
      </c>
      <c r="G763" s="39">
        <v>0</v>
      </c>
      <c r="H763" s="39">
        <v>0</v>
      </c>
      <c r="I763" s="40" t="s">
        <v>1059</v>
      </c>
      <c r="J763" s="41">
        <v>7.125</v>
      </c>
      <c r="L763" s="39" t="s">
        <v>15</v>
      </c>
      <c r="M763" s="38">
        <f t="shared" si="11"/>
        <v>41</v>
      </c>
    </row>
    <row r="764" customHeight="1" spans="1:13">
      <c r="A764" s="39">
        <v>763</v>
      </c>
      <c r="B764" s="39">
        <v>1</v>
      </c>
      <c r="C764" s="39">
        <v>3</v>
      </c>
      <c r="D764" s="40" t="s">
        <v>1060</v>
      </c>
      <c r="E764" s="40" t="s">
        <v>13</v>
      </c>
      <c r="F764" s="39">
        <v>20</v>
      </c>
      <c r="G764" s="39">
        <v>0</v>
      </c>
      <c r="H764" s="39">
        <v>0</v>
      </c>
      <c r="I764" s="40">
        <v>2663</v>
      </c>
      <c r="J764" s="41">
        <v>7.2292</v>
      </c>
      <c r="L764" s="39" t="s">
        <v>20</v>
      </c>
      <c r="M764" s="38">
        <f t="shared" si="11"/>
        <v>20</v>
      </c>
    </row>
    <row r="765" customHeight="1" spans="1:13">
      <c r="A765" s="39">
        <v>764</v>
      </c>
      <c r="B765" s="39">
        <v>1</v>
      </c>
      <c r="C765" s="39">
        <v>1</v>
      </c>
      <c r="D765" s="40" t="s">
        <v>1061</v>
      </c>
      <c r="E765" s="40" t="s">
        <v>17</v>
      </c>
      <c r="F765" s="39">
        <v>36</v>
      </c>
      <c r="G765" s="39">
        <v>1</v>
      </c>
      <c r="H765" s="39">
        <v>2</v>
      </c>
      <c r="I765" s="40">
        <v>113760</v>
      </c>
      <c r="J765" s="41">
        <v>120</v>
      </c>
      <c r="K765" s="42" t="s">
        <v>578</v>
      </c>
      <c r="L765" s="39" t="s">
        <v>15</v>
      </c>
      <c r="M765" s="38">
        <f t="shared" si="11"/>
        <v>36</v>
      </c>
    </row>
    <row r="766" customHeight="1" spans="1:13">
      <c r="A766" s="39">
        <v>765</v>
      </c>
      <c r="B766" s="39">
        <v>0</v>
      </c>
      <c r="C766" s="39">
        <v>3</v>
      </c>
      <c r="D766" s="40" t="s">
        <v>1062</v>
      </c>
      <c r="E766" s="40" t="s">
        <v>13</v>
      </c>
      <c r="F766" s="39">
        <v>16</v>
      </c>
      <c r="G766" s="39">
        <v>0</v>
      </c>
      <c r="H766" s="39">
        <v>0</v>
      </c>
      <c r="I766" s="40">
        <v>347074</v>
      </c>
      <c r="J766" s="41">
        <v>7.775</v>
      </c>
      <c r="L766" s="39" t="s">
        <v>15</v>
      </c>
      <c r="M766" s="38">
        <f t="shared" si="11"/>
        <v>16</v>
      </c>
    </row>
    <row r="767" customHeight="1" spans="1:13">
      <c r="A767" s="39">
        <v>766</v>
      </c>
      <c r="B767" s="39">
        <v>1</v>
      </c>
      <c r="C767" s="39">
        <v>1</v>
      </c>
      <c r="D767" s="40" t="s">
        <v>1063</v>
      </c>
      <c r="E767" s="40" t="s">
        <v>17</v>
      </c>
      <c r="F767" s="39">
        <v>51</v>
      </c>
      <c r="G767" s="39">
        <v>1</v>
      </c>
      <c r="H767" s="39">
        <v>0</v>
      </c>
      <c r="I767" s="40">
        <v>13502</v>
      </c>
      <c r="J767" s="41">
        <v>77.9583</v>
      </c>
      <c r="K767" s="42" t="s">
        <v>1064</v>
      </c>
      <c r="L767" s="39" t="s">
        <v>15</v>
      </c>
      <c r="M767" s="38">
        <f t="shared" si="11"/>
        <v>51</v>
      </c>
    </row>
    <row r="768" customHeight="1" spans="1:13">
      <c r="A768" s="39">
        <v>767</v>
      </c>
      <c r="B768" s="39">
        <v>0</v>
      </c>
      <c r="C768" s="39">
        <v>1</v>
      </c>
      <c r="D768" s="40" t="s">
        <v>1065</v>
      </c>
      <c r="E768" s="40" t="s">
        <v>13</v>
      </c>
      <c r="G768" s="39">
        <v>0</v>
      </c>
      <c r="H768" s="39">
        <v>0</v>
      </c>
      <c r="I768" s="40">
        <v>112379</v>
      </c>
      <c r="J768" s="41">
        <v>39.6</v>
      </c>
      <c r="L768" s="39" t="s">
        <v>20</v>
      </c>
      <c r="M768" s="38">
        <f t="shared" si="11"/>
        <v>29.6991176470588</v>
      </c>
    </row>
    <row r="769" customHeight="1" spans="1:13">
      <c r="A769" s="39">
        <v>768</v>
      </c>
      <c r="B769" s="39">
        <v>0</v>
      </c>
      <c r="C769" s="39">
        <v>3</v>
      </c>
      <c r="D769" s="40" t="s">
        <v>1066</v>
      </c>
      <c r="E769" s="40" t="s">
        <v>17</v>
      </c>
      <c r="F769" s="39">
        <v>30.5</v>
      </c>
      <c r="G769" s="39">
        <v>0</v>
      </c>
      <c r="H769" s="39">
        <v>0</v>
      </c>
      <c r="I769" s="40">
        <v>364850</v>
      </c>
      <c r="J769" s="41">
        <v>7.75</v>
      </c>
      <c r="L769" s="39" t="s">
        <v>27</v>
      </c>
      <c r="M769" s="38">
        <f t="shared" si="11"/>
        <v>30.5</v>
      </c>
    </row>
    <row r="770" customHeight="1" spans="1:13">
      <c r="A770" s="39">
        <v>769</v>
      </c>
      <c r="B770" s="39">
        <v>0</v>
      </c>
      <c r="C770" s="39">
        <v>3</v>
      </c>
      <c r="D770" s="40" t="s">
        <v>1067</v>
      </c>
      <c r="E770" s="40" t="s">
        <v>13</v>
      </c>
      <c r="G770" s="39">
        <v>1</v>
      </c>
      <c r="H770" s="39">
        <v>0</v>
      </c>
      <c r="I770" s="40">
        <v>371110</v>
      </c>
      <c r="J770" s="41">
        <v>24.15</v>
      </c>
      <c r="L770" s="39" t="s">
        <v>27</v>
      </c>
      <c r="M770" s="38">
        <f t="shared" ref="M770:M833" si="12">IF(F770="",AVERAGE($F$2:$F$892),F770)</f>
        <v>29.6991176470588</v>
      </c>
    </row>
    <row r="771" customHeight="1" spans="1:13">
      <c r="A771" s="39">
        <v>770</v>
      </c>
      <c r="B771" s="39">
        <v>0</v>
      </c>
      <c r="C771" s="39">
        <v>3</v>
      </c>
      <c r="D771" s="40" t="s">
        <v>1068</v>
      </c>
      <c r="E771" s="40" t="s">
        <v>13</v>
      </c>
      <c r="F771" s="39">
        <v>32</v>
      </c>
      <c r="G771" s="39">
        <v>0</v>
      </c>
      <c r="H771" s="39">
        <v>0</v>
      </c>
      <c r="I771" s="40">
        <v>8471</v>
      </c>
      <c r="J771" s="41">
        <v>8.3625</v>
      </c>
      <c r="L771" s="39" t="s">
        <v>15</v>
      </c>
      <c r="M771" s="38">
        <f t="shared" si="12"/>
        <v>32</v>
      </c>
    </row>
    <row r="772" customHeight="1" spans="1:13">
      <c r="A772" s="39">
        <v>771</v>
      </c>
      <c r="B772" s="39">
        <v>0</v>
      </c>
      <c r="C772" s="39">
        <v>3</v>
      </c>
      <c r="D772" s="40" t="s">
        <v>1069</v>
      </c>
      <c r="E772" s="40" t="s">
        <v>13</v>
      </c>
      <c r="F772" s="39">
        <v>24</v>
      </c>
      <c r="G772" s="39">
        <v>0</v>
      </c>
      <c r="H772" s="39">
        <v>0</v>
      </c>
      <c r="I772" s="40">
        <v>345781</v>
      </c>
      <c r="J772" s="41">
        <v>9.5</v>
      </c>
      <c r="L772" s="39" t="s">
        <v>15</v>
      </c>
      <c r="M772" s="38">
        <f t="shared" si="12"/>
        <v>24</v>
      </c>
    </row>
    <row r="773" customHeight="1" spans="1:13">
      <c r="A773" s="39">
        <v>772</v>
      </c>
      <c r="B773" s="39">
        <v>0</v>
      </c>
      <c r="C773" s="39">
        <v>3</v>
      </c>
      <c r="D773" s="40" t="s">
        <v>1070</v>
      </c>
      <c r="E773" s="40" t="s">
        <v>13</v>
      </c>
      <c r="F773" s="39">
        <v>48</v>
      </c>
      <c r="G773" s="39">
        <v>0</v>
      </c>
      <c r="H773" s="39">
        <v>0</v>
      </c>
      <c r="I773" s="40">
        <v>350047</v>
      </c>
      <c r="J773" s="41">
        <v>7.8542</v>
      </c>
      <c r="L773" s="39" t="s">
        <v>15</v>
      </c>
      <c r="M773" s="38">
        <f t="shared" si="12"/>
        <v>48</v>
      </c>
    </row>
    <row r="774" customHeight="1" spans="1:13">
      <c r="A774" s="39">
        <v>773</v>
      </c>
      <c r="B774" s="39">
        <v>0</v>
      </c>
      <c r="C774" s="39">
        <v>2</v>
      </c>
      <c r="D774" s="40" t="s">
        <v>1071</v>
      </c>
      <c r="E774" s="40" t="s">
        <v>17</v>
      </c>
      <c r="F774" s="39">
        <v>57</v>
      </c>
      <c r="G774" s="39">
        <v>0</v>
      </c>
      <c r="H774" s="39">
        <v>0</v>
      </c>
      <c r="I774" s="40" t="s">
        <v>1072</v>
      </c>
      <c r="J774" s="41">
        <v>10.5</v>
      </c>
      <c r="K774" s="42" t="s">
        <v>1073</v>
      </c>
      <c r="L774" s="39" t="s">
        <v>15</v>
      </c>
      <c r="M774" s="38">
        <f t="shared" si="12"/>
        <v>57</v>
      </c>
    </row>
    <row r="775" customHeight="1" spans="1:13">
      <c r="A775" s="39">
        <v>774</v>
      </c>
      <c r="B775" s="39">
        <v>0</v>
      </c>
      <c r="C775" s="39">
        <v>3</v>
      </c>
      <c r="D775" s="40" t="s">
        <v>1074</v>
      </c>
      <c r="E775" s="40" t="s">
        <v>13</v>
      </c>
      <c r="G775" s="39">
        <v>0</v>
      </c>
      <c r="H775" s="39">
        <v>0</v>
      </c>
      <c r="I775" s="40">
        <v>2674</v>
      </c>
      <c r="J775" s="41">
        <v>7.225</v>
      </c>
      <c r="L775" s="39" t="s">
        <v>20</v>
      </c>
      <c r="M775" s="38">
        <f t="shared" si="12"/>
        <v>29.6991176470588</v>
      </c>
    </row>
    <row r="776" customHeight="1" spans="1:13">
      <c r="A776" s="39">
        <v>775</v>
      </c>
      <c r="B776" s="39">
        <v>1</v>
      </c>
      <c r="C776" s="39">
        <v>2</v>
      </c>
      <c r="D776" s="40" t="s">
        <v>1075</v>
      </c>
      <c r="E776" s="40" t="s">
        <v>17</v>
      </c>
      <c r="F776" s="39">
        <v>54</v>
      </c>
      <c r="G776" s="39">
        <v>1</v>
      </c>
      <c r="H776" s="39">
        <v>3</v>
      </c>
      <c r="I776" s="40">
        <v>29105</v>
      </c>
      <c r="J776" s="41">
        <v>23</v>
      </c>
      <c r="L776" s="39" t="s">
        <v>15</v>
      </c>
      <c r="M776" s="38">
        <f t="shared" si="12"/>
        <v>54</v>
      </c>
    </row>
    <row r="777" customHeight="1" spans="1:13">
      <c r="A777" s="39">
        <v>776</v>
      </c>
      <c r="B777" s="39">
        <v>0</v>
      </c>
      <c r="C777" s="39">
        <v>3</v>
      </c>
      <c r="D777" s="40" t="s">
        <v>1076</v>
      </c>
      <c r="E777" s="40" t="s">
        <v>13</v>
      </c>
      <c r="F777" s="39">
        <v>18</v>
      </c>
      <c r="G777" s="39">
        <v>0</v>
      </c>
      <c r="H777" s="39">
        <v>0</v>
      </c>
      <c r="I777" s="40">
        <v>347078</v>
      </c>
      <c r="J777" s="41">
        <v>7.75</v>
      </c>
      <c r="L777" s="39" t="s">
        <v>15</v>
      </c>
      <c r="M777" s="38">
        <f t="shared" si="12"/>
        <v>18</v>
      </c>
    </row>
    <row r="778" customHeight="1" spans="1:13">
      <c r="A778" s="39">
        <v>777</v>
      </c>
      <c r="B778" s="39">
        <v>0</v>
      </c>
      <c r="C778" s="39">
        <v>3</v>
      </c>
      <c r="D778" s="40" t="s">
        <v>1077</v>
      </c>
      <c r="E778" s="40" t="s">
        <v>13</v>
      </c>
      <c r="G778" s="39">
        <v>0</v>
      </c>
      <c r="H778" s="39">
        <v>0</v>
      </c>
      <c r="I778" s="40">
        <v>383121</v>
      </c>
      <c r="J778" s="41">
        <v>7.75</v>
      </c>
      <c r="K778" s="42" t="s">
        <v>1078</v>
      </c>
      <c r="L778" s="39" t="s">
        <v>27</v>
      </c>
      <c r="M778" s="38">
        <f t="shared" si="12"/>
        <v>29.6991176470588</v>
      </c>
    </row>
    <row r="779" customHeight="1" spans="1:13">
      <c r="A779" s="39">
        <v>778</v>
      </c>
      <c r="B779" s="39">
        <v>1</v>
      </c>
      <c r="C779" s="39">
        <v>3</v>
      </c>
      <c r="D779" s="40" t="s">
        <v>1079</v>
      </c>
      <c r="E779" s="40" t="s">
        <v>17</v>
      </c>
      <c r="F779" s="39">
        <v>5</v>
      </c>
      <c r="G779" s="39">
        <v>0</v>
      </c>
      <c r="H779" s="39">
        <v>0</v>
      </c>
      <c r="I779" s="40">
        <v>364516</v>
      </c>
      <c r="J779" s="41">
        <v>12.475</v>
      </c>
      <c r="L779" s="39" t="s">
        <v>15</v>
      </c>
      <c r="M779" s="38">
        <f t="shared" si="12"/>
        <v>5</v>
      </c>
    </row>
    <row r="780" customHeight="1" spans="1:13">
      <c r="A780" s="39">
        <v>779</v>
      </c>
      <c r="B780" s="39">
        <v>0</v>
      </c>
      <c r="C780" s="39">
        <v>3</v>
      </c>
      <c r="D780" s="40" t="s">
        <v>1080</v>
      </c>
      <c r="E780" s="40" t="s">
        <v>13</v>
      </c>
      <c r="G780" s="39">
        <v>0</v>
      </c>
      <c r="H780" s="39">
        <v>0</v>
      </c>
      <c r="I780" s="40">
        <v>36865</v>
      </c>
      <c r="J780" s="41">
        <v>7.7375</v>
      </c>
      <c r="L780" s="39" t="s">
        <v>27</v>
      </c>
      <c r="M780" s="38">
        <f t="shared" si="12"/>
        <v>29.6991176470588</v>
      </c>
    </row>
    <row r="781" customHeight="1" spans="1:13">
      <c r="A781" s="39">
        <v>780</v>
      </c>
      <c r="B781" s="39">
        <v>1</v>
      </c>
      <c r="C781" s="39">
        <v>1</v>
      </c>
      <c r="D781" s="40" t="s">
        <v>1081</v>
      </c>
      <c r="E781" s="40" t="s">
        <v>17</v>
      </c>
      <c r="F781" s="39">
        <v>43</v>
      </c>
      <c r="G781" s="39">
        <v>0</v>
      </c>
      <c r="H781" s="39">
        <v>1</v>
      </c>
      <c r="I781" s="40">
        <v>24160</v>
      </c>
      <c r="J781" s="41">
        <v>211.3375</v>
      </c>
      <c r="K781" s="42" t="s">
        <v>1082</v>
      </c>
      <c r="L781" s="39" t="s">
        <v>15</v>
      </c>
      <c r="M781" s="38">
        <f t="shared" si="12"/>
        <v>43</v>
      </c>
    </row>
    <row r="782" customHeight="1" spans="1:13">
      <c r="A782" s="39">
        <v>781</v>
      </c>
      <c r="B782" s="39">
        <v>1</v>
      </c>
      <c r="C782" s="39">
        <v>3</v>
      </c>
      <c r="D782" s="40" t="s">
        <v>1083</v>
      </c>
      <c r="E782" s="40" t="s">
        <v>17</v>
      </c>
      <c r="F782" s="39">
        <v>13</v>
      </c>
      <c r="G782" s="39">
        <v>0</v>
      </c>
      <c r="H782" s="39">
        <v>0</v>
      </c>
      <c r="I782" s="40">
        <v>2687</v>
      </c>
      <c r="J782" s="41">
        <v>7.2292</v>
      </c>
      <c r="L782" s="39" t="s">
        <v>20</v>
      </c>
      <c r="M782" s="38">
        <f t="shared" si="12"/>
        <v>13</v>
      </c>
    </row>
    <row r="783" customHeight="1" spans="1:13">
      <c r="A783" s="39">
        <v>782</v>
      </c>
      <c r="B783" s="39">
        <v>1</v>
      </c>
      <c r="C783" s="39">
        <v>1</v>
      </c>
      <c r="D783" s="40" t="s">
        <v>1084</v>
      </c>
      <c r="E783" s="40" t="s">
        <v>17</v>
      </c>
      <c r="F783" s="39">
        <v>17</v>
      </c>
      <c r="G783" s="39">
        <v>1</v>
      </c>
      <c r="H783" s="39">
        <v>0</v>
      </c>
      <c r="I783" s="40">
        <v>17474</v>
      </c>
      <c r="J783" s="41">
        <v>57</v>
      </c>
      <c r="K783" s="42" t="s">
        <v>971</v>
      </c>
      <c r="L783" s="39" t="s">
        <v>15</v>
      </c>
      <c r="M783" s="38">
        <f t="shared" si="12"/>
        <v>17</v>
      </c>
    </row>
    <row r="784" customHeight="1" spans="1:13">
      <c r="A784" s="39">
        <v>783</v>
      </c>
      <c r="B784" s="39">
        <v>0</v>
      </c>
      <c r="C784" s="39">
        <v>1</v>
      </c>
      <c r="D784" s="40" t="s">
        <v>1085</v>
      </c>
      <c r="E784" s="40" t="s">
        <v>13</v>
      </c>
      <c r="F784" s="39">
        <v>29</v>
      </c>
      <c r="G784" s="39">
        <v>0</v>
      </c>
      <c r="H784" s="39">
        <v>0</v>
      </c>
      <c r="I784" s="40">
        <v>113501</v>
      </c>
      <c r="J784" s="41">
        <v>30</v>
      </c>
      <c r="K784" s="42" t="s">
        <v>1086</v>
      </c>
      <c r="L784" s="39" t="s">
        <v>15</v>
      </c>
      <c r="M784" s="38">
        <f t="shared" si="12"/>
        <v>29</v>
      </c>
    </row>
    <row r="785" customHeight="1" spans="1:13">
      <c r="A785" s="39">
        <v>784</v>
      </c>
      <c r="B785" s="39">
        <v>0</v>
      </c>
      <c r="C785" s="39">
        <v>3</v>
      </c>
      <c r="D785" s="40" t="s">
        <v>1087</v>
      </c>
      <c r="E785" s="40" t="s">
        <v>13</v>
      </c>
      <c r="G785" s="39">
        <v>1</v>
      </c>
      <c r="H785" s="39">
        <v>2</v>
      </c>
      <c r="I785" s="40" t="s">
        <v>1088</v>
      </c>
      <c r="J785" s="41">
        <v>23.45</v>
      </c>
      <c r="L785" s="39" t="s">
        <v>15</v>
      </c>
      <c r="M785" s="38">
        <f t="shared" si="12"/>
        <v>29.6991176470588</v>
      </c>
    </row>
    <row r="786" customHeight="1" spans="1:13">
      <c r="A786" s="39">
        <v>785</v>
      </c>
      <c r="B786" s="39">
        <v>0</v>
      </c>
      <c r="C786" s="39">
        <v>3</v>
      </c>
      <c r="D786" s="40" t="s">
        <v>1089</v>
      </c>
      <c r="E786" s="40" t="s">
        <v>13</v>
      </c>
      <c r="F786" s="39">
        <v>25</v>
      </c>
      <c r="G786" s="39">
        <v>0</v>
      </c>
      <c r="H786" s="39">
        <v>0</v>
      </c>
      <c r="I786" s="40" t="s">
        <v>1090</v>
      </c>
      <c r="J786" s="41">
        <v>7.05</v>
      </c>
      <c r="L786" s="39" t="s">
        <v>15</v>
      </c>
      <c r="M786" s="38">
        <f t="shared" si="12"/>
        <v>25</v>
      </c>
    </row>
    <row r="787" customHeight="1" spans="1:13">
      <c r="A787" s="39">
        <v>786</v>
      </c>
      <c r="B787" s="39">
        <v>0</v>
      </c>
      <c r="C787" s="39">
        <v>3</v>
      </c>
      <c r="D787" s="40" t="s">
        <v>1091</v>
      </c>
      <c r="E787" s="40" t="s">
        <v>13</v>
      </c>
      <c r="F787" s="39">
        <v>25</v>
      </c>
      <c r="G787" s="39">
        <v>0</v>
      </c>
      <c r="H787" s="39">
        <v>0</v>
      </c>
      <c r="I787" s="40">
        <v>374887</v>
      </c>
      <c r="J787" s="41">
        <v>7.25</v>
      </c>
      <c r="L787" s="39" t="s">
        <v>15</v>
      </c>
      <c r="M787" s="38">
        <f t="shared" si="12"/>
        <v>25</v>
      </c>
    </row>
    <row r="788" customHeight="1" spans="1:13">
      <c r="A788" s="39">
        <v>787</v>
      </c>
      <c r="B788" s="39">
        <v>1</v>
      </c>
      <c r="C788" s="39">
        <v>3</v>
      </c>
      <c r="D788" s="40" t="s">
        <v>1092</v>
      </c>
      <c r="E788" s="40" t="s">
        <v>17</v>
      </c>
      <c r="F788" s="39">
        <v>18</v>
      </c>
      <c r="G788" s="39">
        <v>0</v>
      </c>
      <c r="H788" s="39">
        <v>0</v>
      </c>
      <c r="I788" s="40">
        <v>3101265</v>
      </c>
      <c r="J788" s="41">
        <v>7.4958</v>
      </c>
      <c r="L788" s="39" t="s">
        <v>15</v>
      </c>
      <c r="M788" s="38">
        <f t="shared" si="12"/>
        <v>18</v>
      </c>
    </row>
    <row r="789" customHeight="1" spans="1:13">
      <c r="A789" s="39">
        <v>788</v>
      </c>
      <c r="B789" s="39">
        <v>0</v>
      </c>
      <c r="C789" s="39">
        <v>3</v>
      </c>
      <c r="D789" s="40" t="s">
        <v>1093</v>
      </c>
      <c r="E789" s="40" t="s">
        <v>13</v>
      </c>
      <c r="F789" s="39">
        <v>8</v>
      </c>
      <c r="G789" s="39">
        <v>4</v>
      </c>
      <c r="H789" s="39">
        <v>1</v>
      </c>
      <c r="I789" s="40">
        <v>382652</v>
      </c>
      <c r="J789" s="41">
        <v>29.125</v>
      </c>
      <c r="L789" s="39" t="s">
        <v>27</v>
      </c>
      <c r="M789" s="38">
        <f t="shared" si="12"/>
        <v>8</v>
      </c>
    </row>
    <row r="790" customHeight="1" spans="1:13">
      <c r="A790" s="39">
        <v>789</v>
      </c>
      <c r="B790" s="39">
        <v>1</v>
      </c>
      <c r="C790" s="39">
        <v>3</v>
      </c>
      <c r="D790" s="40" t="s">
        <v>1094</v>
      </c>
      <c r="E790" s="40" t="s">
        <v>13</v>
      </c>
      <c r="F790" s="39">
        <v>1</v>
      </c>
      <c r="G790" s="39">
        <v>1</v>
      </c>
      <c r="H790" s="39">
        <v>2</v>
      </c>
      <c r="I790" s="40" t="s">
        <v>154</v>
      </c>
      <c r="J790" s="41">
        <v>20.575</v>
      </c>
      <c r="L790" s="39" t="s">
        <v>15</v>
      </c>
      <c r="M790" s="38">
        <f t="shared" si="12"/>
        <v>1</v>
      </c>
    </row>
    <row r="791" customHeight="1" spans="1:13">
      <c r="A791" s="39">
        <v>790</v>
      </c>
      <c r="B791" s="39">
        <v>0</v>
      </c>
      <c r="C791" s="39">
        <v>1</v>
      </c>
      <c r="D791" s="40" t="s">
        <v>1095</v>
      </c>
      <c r="E791" s="40" t="s">
        <v>13</v>
      </c>
      <c r="F791" s="39">
        <v>46</v>
      </c>
      <c r="G791" s="39">
        <v>0</v>
      </c>
      <c r="H791" s="39">
        <v>0</v>
      </c>
      <c r="I791" s="40" t="s">
        <v>219</v>
      </c>
      <c r="J791" s="41">
        <v>79.2</v>
      </c>
      <c r="K791" s="42" t="s">
        <v>1096</v>
      </c>
      <c r="L791" s="39" t="s">
        <v>20</v>
      </c>
      <c r="M791" s="38">
        <f t="shared" si="12"/>
        <v>46</v>
      </c>
    </row>
    <row r="792" customHeight="1" spans="1:13">
      <c r="A792" s="39">
        <v>791</v>
      </c>
      <c r="B792" s="39">
        <v>0</v>
      </c>
      <c r="C792" s="39">
        <v>3</v>
      </c>
      <c r="D792" s="40" t="s">
        <v>1097</v>
      </c>
      <c r="E792" s="40" t="s">
        <v>13</v>
      </c>
      <c r="G792" s="39">
        <v>0</v>
      </c>
      <c r="H792" s="39">
        <v>0</v>
      </c>
      <c r="I792" s="40">
        <v>12460</v>
      </c>
      <c r="J792" s="41">
        <v>7.75</v>
      </c>
      <c r="L792" s="39" t="s">
        <v>27</v>
      </c>
      <c r="M792" s="38">
        <f t="shared" si="12"/>
        <v>29.6991176470588</v>
      </c>
    </row>
    <row r="793" customHeight="1" spans="1:13">
      <c r="A793" s="39">
        <v>792</v>
      </c>
      <c r="B793" s="39">
        <v>0</v>
      </c>
      <c r="C793" s="39">
        <v>2</v>
      </c>
      <c r="D793" s="40" t="s">
        <v>1098</v>
      </c>
      <c r="E793" s="40" t="s">
        <v>13</v>
      </c>
      <c r="F793" s="39">
        <v>16</v>
      </c>
      <c r="G793" s="39">
        <v>0</v>
      </c>
      <c r="H793" s="39">
        <v>0</v>
      </c>
      <c r="I793" s="40">
        <v>239865</v>
      </c>
      <c r="J793" s="41">
        <v>26</v>
      </c>
      <c r="L793" s="39" t="s">
        <v>15</v>
      </c>
      <c r="M793" s="38">
        <f t="shared" si="12"/>
        <v>16</v>
      </c>
    </row>
    <row r="794" customHeight="1" spans="1:13">
      <c r="A794" s="39">
        <v>793</v>
      </c>
      <c r="B794" s="39">
        <v>0</v>
      </c>
      <c r="C794" s="39">
        <v>3</v>
      </c>
      <c r="D794" s="40" t="s">
        <v>1099</v>
      </c>
      <c r="E794" s="40" t="s">
        <v>17</v>
      </c>
      <c r="G794" s="39">
        <v>8</v>
      </c>
      <c r="H794" s="39">
        <v>2</v>
      </c>
      <c r="I794" s="40" t="s">
        <v>251</v>
      </c>
      <c r="J794" s="41">
        <v>69.55</v>
      </c>
      <c r="L794" s="39" t="s">
        <v>15</v>
      </c>
      <c r="M794" s="38">
        <f t="shared" si="12"/>
        <v>29.6991176470588</v>
      </c>
    </row>
    <row r="795" customHeight="1" spans="1:13">
      <c r="A795" s="39">
        <v>794</v>
      </c>
      <c r="B795" s="39">
        <v>0</v>
      </c>
      <c r="C795" s="39">
        <v>1</v>
      </c>
      <c r="D795" s="40" t="s">
        <v>1100</v>
      </c>
      <c r="E795" s="40" t="s">
        <v>13</v>
      </c>
      <c r="G795" s="39">
        <v>0</v>
      </c>
      <c r="H795" s="39">
        <v>0</v>
      </c>
      <c r="I795" s="40" t="s">
        <v>1101</v>
      </c>
      <c r="J795" s="41">
        <v>30.6958</v>
      </c>
      <c r="L795" s="39" t="s">
        <v>20</v>
      </c>
      <c r="M795" s="38">
        <f t="shared" si="12"/>
        <v>29.6991176470588</v>
      </c>
    </row>
    <row r="796" customHeight="1" spans="1:13">
      <c r="A796" s="39">
        <v>795</v>
      </c>
      <c r="B796" s="39">
        <v>0</v>
      </c>
      <c r="C796" s="39">
        <v>3</v>
      </c>
      <c r="D796" s="40" t="s">
        <v>1102</v>
      </c>
      <c r="E796" s="40" t="s">
        <v>13</v>
      </c>
      <c r="F796" s="39">
        <v>25</v>
      </c>
      <c r="G796" s="39">
        <v>0</v>
      </c>
      <c r="H796" s="39">
        <v>0</v>
      </c>
      <c r="I796" s="40">
        <v>349203</v>
      </c>
      <c r="J796" s="41">
        <v>7.8958</v>
      </c>
      <c r="L796" s="39" t="s">
        <v>15</v>
      </c>
      <c r="M796" s="38">
        <f t="shared" si="12"/>
        <v>25</v>
      </c>
    </row>
    <row r="797" customHeight="1" spans="1:13">
      <c r="A797" s="39">
        <v>796</v>
      </c>
      <c r="B797" s="39">
        <v>0</v>
      </c>
      <c r="C797" s="39">
        <v>2</v>
      </c>
      <c r="D797" s="40" t="s">
        <v>1103</v>
      </c>
      <c r="E797" s="40" t="s">
        <v>13</v>
      </c>
      <c r="F797" s="39">
        <v>39</v>
      </c>
      <c r="G797" s="39">
        <v>0</v>
      </c>
      <c r="H797" s="39">
        <v>0</v>
      </c>
      <c r="I797" s="40">
        <v>28213</v>
      </c>
      <c r="J797" s="41">
        <v>13</v>
      </c>
      <c r="L797" s="39" t="s">
        <v>15</v>
      </c>
      <c r="M797" s="38">
        <f t="shared" si="12"/>
        <v>39</v>
      </c>
    </row>
    <row r="798" customHeight="1" spans="1:13">
      <c r="A798" s="39">
        <v>797</v>
      </c>
      <c r="B798" s="39">
        <v>1</v>
      </c>
      <c r="C798" s="39">
        <v>1</v>
      </c>
      <c r="D798" s="40" t="s">
        <v>1104</v>
      </c>
      <c r="E798" s="40" t="s">
        <v>17</v>
      </c>
      <c r="F798" s="39">
        <v>49</v>
      </c>
      <c r="G798" s="39">
        <v>0</v>
      </c>
      <c r="H798" s="39">
        <v>0</v>
      </c>
      <c r="I798" s="40">
        <v>17465</v>
      </c>
      <c r="J798" s="41">
        <v>25.9292</v>
      </c>
      <c r="K798" s="42" t="s">
        <v>1105</v>
      </c>
      <c r="L798" s="39" t="s">
        <v>15</v>
      </c>
      <c r="M798" s="38">
        <f t="shared" si="12"/>
        <v>49</v>
      </c>
    </row>
    <row r="799" customHeight="1" spans="1:13">
      <c r="A799" s="39">
        <v>798</v>
      </c>
      <c r="B799" s="39">
        <v>1</v>
      </c>
      <c r="C799" s="39">
        <v>3</v>
      </c>
      <c r="D799" s="40" t="s">
        <v>1106</v>
      </c>
      <c r="E799" s="40" t="s">
        <v>17</v>
      </c>
      <c r="F799" s="39">
        <v>31</v>
      </c>
      <c r="G799" s="39">
        <v>0</v>
      </c>
      <c r="H799" s="39">
        <v>0</v>
      </c>
      <c r="I799" s="40">
        <v>349244</v>
      </c>
      <c r="J799" s="41">
        <v>8.6833</v>
      </c>
      <c r="L799" s="39" t="s">
        <v>15</v>
      </c>
      <c r="M799" s="38">
        <f t="shared" si="12"/>
        <v>31</v>
      </c>
    </row>
    <row r="800" customHeight="1" spans="1:13">
      <c r="A800" s="39">
        <v>799</v>
      </c>
      <c r="B800" s="39">
        <v>0</v>
      </c>
      <c r="C800" s="39">
        <v>3</v>
      </c>
      <c r="D800" s="40" t="s">
        <v>1107</v>
      </c>
      <c r="E800" s="40" t="s">
        <v>13</v>
      </c>
      <c r="F800" s="39">
        <v>30</v>
      </c>
      <c r="G800" s="39">
        <v>0</v>
      </c>
      <c r="H800" s="39">
        <v>0</v>
      </c>
      <c r="I800" s="40">
        <v>2685</v>
      </c>
      <c r="J800" s="41">
        <v>7.2292</v>
      </c>
      <c r="L800" s="39" t="s">
        <v>20</v>
      </c>
      <c r="M800" s="38">
        <f t="shared" si="12"/>
        <v>30</v>
      </c>
    </row>
    <row r="801" customHeight="1" spans="1:13">
      <c r="A801" s="39">
        <v>800</v>
      </c>
      <c r="B801" s="39">
        <v>0</v>
      </c>
      <c r="C801" s="39">
        <v>3</v>
      </c>
      <c r="D801" s="40" t="s">
        <v>1108</v>
      </c>
      <c r="E801" s="40" t="s">
        <v>17</v>
      </c>
      <c r="F801" s="39">
        <v>30</v>
      </c>
      <c r="G801" s="39">
        <v>1</v>
      </c>
      <c r="H801" s="39">
        <v>1</v>
      </c>
      <c r="I801" s="40">
        <v>345773</v>
      </c>
      <c r="J801" s="41">
        <v>24.15</v>
      </c>
      <c r="L801" s="39" t="s">
        <v>15</v>
      </c>
      <c r="M801" s="38">
        <f t="shared" si="12"/>
        <v>30</v>
      </c>
    </row>
    <row r="802" customHeight="1" spans="1:13">
      <c r="A802" s="39">
        <v>801</v>
      </c>
      <c r="B802" s="39">
        <v>0</v>
      </c>
      <c r="C802" s="39">
        <v>2</v>
      </c>
      <c r="D802" s="40" t="s">
        <v>1109</v>
      </c>
      <c r="E802" s="40" t="s">
        <v>13</v>
      </c>
      <c r="F802" s="39">
        <v>34</v>
      </c>
      <c r="G802" s="39">
        <v>0</v>
      </c>
      <c r="H802" s="39">
        <v>0</v>
      </c>
      <c r="I802" s="40">
        <v>250647</v>
      </c>
      <c r="J802" s="41">
        <v>13</v>
      </c>
      <c r="L802" s="39" t="s">
        <v>15</v>
      </c>
      <c r="M802" s="38">
        <f t="shared" si="12"/>
        <v>34</v>
      </c>
    </row>
    <row r="803" customHeight="1" spans="1:13">
      <c r="A803" s="39">
        <v>802</v>
      </c>
      <c r="B803" s="39">
        <v>1</v>
      </c>
      <c r="C803" s="39">
        <v>2</v>
      </c>
      <c r="D803" s="40" t="s">
        <v>1110</v>
      </c>
      <c r="E803" s="40" t="s">
        <v>17</v>
      </c>
      <c r="F803" s="39">
        <v>31</v>
      </c>
      <c r="G803" s="39">
        <v>1</v>
      </c>
      <c r="H803" s="39">
        <v>1</v>
      </c>
      <c r="I803" s="40" t="s">
        <v>361</v>
      </c>
      <c r="J803" s="41">
        <v>26.25</v>
      </c>
      <c r="L803" s="39" t="s">
        <v>15</v>
      </c>
      <c r="M803" s="38">
        <f t="shared" si="12"/>
        <v>31</v>
      </c>
    </row>
    <row r="804" customHeight="1" spans="1:13">
      <c r="A804" s="39">
        <v>803</v>
      </c>
      <c r="B804" s="39">
        <v>1</v>
      </c>
      <c r="C804" s="39">
        <v>1</v>
      </c>
      <c r="D804" s="40" t="s">
        <v>1111</v>
      </c>
      <c r="E804" s="40" t="s">
        <v>13</v>
      </c>
      <c r="F804" s="39">
        <v>11</v>
      </c>
      <c r="G804" s="39">
        <v>1</v>
      </c>
      <c r="H804" s="39">
        <v>2</v>
      </c>
      <c r="I804" s="40">
        <v>113760</v>
      </c>
      <c r="J804" s="41">
        <v>120</v>
      </c>
      <c r="K804" s="42" t="s">
        <v>578</v>
      </c>
      <c r="L804" s="39" t="s">
        <v>15</v>
      </c>
      <c r="M804" s="38">
        <f t="shared" si="12"/>
        <v>11</v>
      </c>
    </row>
    <row r="805" customHeight="1" spans="1:13">
      <c r="A805" s="39">
        <v>804</v>
      </c>
      <c r="B805" s="39">
        <v>1</v>
      </c>
      <c r="C805" s="39">
        <v>3</v>
      </c>
      <c r="D805" s="40" t="s">
        <v>1112</v>
      </c>
      <c r="E805" s="40" t="s">
        <v>13</v>
      </c>
      <c r="F805" s="39">
        <v>0.42</v>
      </c>
      <c r="G805" s="39">
        <v>0</v>
      </c>
      <c r="H805" s="39">
        <v>1</v>
      </c>
      <c r="I805" s="40">
        <v>2625</v>
      </c>
      <c r="J805" s="41">
        <v>8.5167</v>
      </c>
      <c r="L805" s="39" t="s">
        <v>20</v>
      </c>
      <c r="M805" s="38">
        <f t="shared" si="12"/>
        <v>0.42</v>
      </c>
    </row>
    <row r="806" customHeight="1" spans="1:13">
      <c r="A806" s="39">
        <v>805</v>
      </c>
      <c r="B806" s="39">
        <v>1</v>
      </c>
      <c r="C806" s="39">
        <v>3</v>
      </c>
      <c r="D806" s="40" t="s">
        <v>1113</v>
      </c>
      <c r="E806" s="40" t="s">
        <v>13</v>
      </c>
      <c r="F806" s="39">
        <v>27</v>
      </c>
      <c r="G806" s="39">
        <v>0</v>
      </c>
      <c r="H806" s="39">
        <v>0</v>
      </c>
      <c r="I806" s="40">
        <v>347089</v>
      </c>
      <c r="J806" s="41">
        <v>6.975</v>
      </c>
      <c r="L806" s="39" t="s">
        <v>15</v>
      </c>
      <c r="M806" s="38">
        <f t="shared" si="12"/>
        <v>27</v>
      </c>
    </row>
    <row r="807" customHeight="1" spans="1:13">
      <c r="A807" s="39">
        <v>806</v>
      </c>
      <c r="B807" s="39">
        <v>0</v>
      </c>
      <c r="C807" s="39">
        <v>3</v>
      </c>
      <c r="D807" s="40" t="s">
        <v>1114</v>
      </c>
      <c r="E807" s="40" t="s">
        <v>13</v>
      </c>
      <c r="F807" s="39">
        <v>31</v>
      </c>
      <c r="G807" s="39">
        <v>0</v>
      </c>
      <c r="H807" s="39">
        <v>0</v>
      </c>
      <c r="I807" s="40">
        <v>347063</v>
      </c>
      <c r="J807" s="41">
        <v>7.775</v>
      </c>
      <c r="L807" s="39" t="s">
        <v>15</v>
      </c>
      <c r="M807" s="38">
        <f t="shared" si="12"/>
        <v>31</v>
      </c>
    </row>
    <row r="808" customHeight="1" spans="1:13">
      <c r="A808" s="39">
        <v>807</v>
      </c>
      <c r="B808" s="39">
        <v>0</v>
      </c>
      <c r="C808" s="39">
        <v>1</v>
      </c>
      <c r="D808" s="40" t="s">
        <v>1115</v>
      </c>
      <c r="E808" s="40" t="s">
        <v>13</v>
      </c>
      <c r="F808" s="39">
        <v>39</v>
      </c>
      <c r="G808" s="39">
        <v>0</v>
      </c>
      <c r="H808" s="39">
        <v>0</v>
      </c>
      <c r="I808" s="40">
        <v>112050</v>
      </c>
      <c r="J808" s="41">
        <v>0</v>
      </c>
      <c r="K808" s="42" t="s">
        <v>1116</v>
      </c>
      <c r="L808" s="39" t="s">
        <v>15</v>
      </c>
      <c r="M808" s="38">
        <f t="shared" si="12"/>
        <v>39</v>
      </c>
    </row>
    <row r="809" customHeight="1" spans="1:13">
      <c r="A809" s="39">
        <v>808</v>
      </c>
      <c r="B809" s="39">
        <v>0</v>
      </c>
      <c r="C809" s="39">
        <v>3</v>
      </c>
      <c r="D809" s="40" t="s">
        <v>1117</v>
      </c>
      <c r="E809" s="40" t="s">
        <v>17</v>
      </c>
      <c r="F809" s="39">
        <v>18</v>
      </c>
      <c r="G809" s="39">
        <v>0</v>
      </c>
      <c r="H809" s="39">
        <v>0</v>
      </c>
      <c r="I809" s="40">
        <v>347087</v>
      </c>
      <c r="J809" s="41">
        <v>7.775</v>
      </c>
      <c r="L809" s="39" t="s">
        <v>15</v>
      </c>
      <c r="M809" s="38">
        <f t="shared" si="12"/>
        <v>18</v>
      </c>
    </row>
    <row r="810" customHeight="1" spans="1:13">
      <c r="A810" s="39">
        <v>809</v>
      </c>
      <c r="B810" s="39">
        <v>0</v>
      </c>
      <c r="C810" s="39">
        <v>2</v>
      </c>
      <c r="D810" s="40" t="s">
        <v>1118</v>
      </c>
      <c r="E810" s="40" t="s">
        <v>13</v>
      </c>
      <c r="F810" s="39">
        <v>39</v>
      </c>
      <c r="G810" s="39">
        <v>0</v>
      </c>
      <c r="H810" s="39">
        <v>0</v>
      </c>
      <c r="I810" s="40">
        <v>248723</v>
      </c>
      <c r="J810" s="41">
        <v>13</v>
      </c>
      <c r="L810" s="39" t="s">
        <v>15</v>
      </c>
      <c r="M810" s="38">
        <f t="shared" si="12"/>
        <v>39</v>
      </c>
    </row>
    <row r="811" customHeight="1" spans="1:13">
      <c r="A811" s="39">
        <v>810</v>
      </c>
      <c r="B811" s="39">
        <v>1</v>
      </c>
      <c r="C811" s="39">
        <v>1</v>
      </c>
      <c r="D811" s="40" t="s">
        <v>1119</v>
      </c>
      <c r="E811" s="40" t="s">
        <v>17</v>
      </c>
      <c r="F811" s="39">
        <v>33</v>
      </c>
      <c r="G811" s="39">
        <v>1</v>
      </c>
      <c r="H811" s="39">
        <v>0</v>
      </c>
      <c r="I811" s="40">
        <v>113806</v>
      </c>
      <c r="J811" s="41">
        <v>53.1</v>
      </c>
      <c r="K811" s="42" t="s">
        <v>1014</v>
      </c>
      <c r="L811" s="39" t="s">
        <v>15</v>
      </c>
      <c r="M811" s="38">
        <f t="shared" si="12"/>
        <v>33</v>
      </c>
    </row>
    <row r="812" customHeight="1" spans="1:13">
      <c r="A812" s="39">
        <v>811</v>
      </c>
      <c r="B812" s="39">
        <v>0</v>
      </c>
      <c r="C812" s="39">
        <v>3</v>
      </c>
      <c r="D812" s="40" t="s">
        <v>1120</v>
      </c>
      <c r="E812" s="40" t="s">
        <v>13</v>
      </c>
      <c r="F812" s="39">
        <v>26</v>
      </c>
      <c r="G812" s="39">
        <v>0</v>
      </c>
      <c r="H812" s="39">
        <v>0</v>
      </c>
      <c r="I812" s="40">
        <v>3474</v>
      </c>
      <c r="J812" s="41">
        <v>7.8875</v>
      </c>
      <c r="L812" s="39" t="s">
        <v>15</v>
      </c>
      <c r="M812" s="38">
        <f t="shared" si="12"/>
        <v>26</v>
      </c>
    </row>
    <row r="813" customHeight="1" spans="1:13">
      <c r="A813" s="39">
        <v>812</v>
      </c>
      <c r="B813" s="39">
        <v>0</v>
      </c>
      <c r="C813" s="39">
        <v>3</v>
      </c>
      <c r="D813" s="40" t="s">
        <v>1121</v>
      </c>
      <c r="E813" s="40" t="s">
        <v>13</v>
      </c>
      <c r="F813" s="39">
        <v>39</v>
      </c>
      <c r="G813" s="39">
        <v>0</v>
      </c>
      <c r="H813" s="39">
        <v>0</v>
      </c>
      <c r="I813" s="40" t="s">
        <v>810</v>
      </c>
      <c r="J813" s="41">
        <v>24.15</v>
      </c>
      <c r="L813" s="39" t="s">
        <v>15</v>
      </c>
      <c r="M813" s="38">
        <f t="shared" si="12"/>
        <v>39</v>
      </c>
    </row>
    <row r="814" customHeight="1" spans="1:13">
      <c r="A814" s="39">
        <v>813</v>
      </c>
      <c r="B814" s="39">
        <v>0</v>
      </c>
      <c r="C814" s="39">
        <v>2</v>
      </c>
      <c r="D814" s="40" t="s">
        <v>1122</v>
      </c>
      <c r="E814" s="40" t="s">
        <v>13</v>
      </c>
      <c r="F814" s="39">
        <v>35</v>
      </c>
      <c r="G814" s="39">
        <v>0</v>
      </c>
      <c r="H814" s="39">
        <v>0</v>
      </c>
      <c r="I814" s="40">
        <v>28206</v>
      </c>
      <c r="J814" s="41">
        <v>10.5</v>
      </c>
      <c r="L814" s="39" t="s">
        <v>15</v>
      </c>
      <c r="M814" s="38">
        <f t="shared" si="12"/>
        <v>35</v>
      </c>
    </row>
    <row r="815" customHeight="1" spans="1:13">
      <c r="A815" s="39">
        <v>814</v>
      </c>
      <c r="B815" s="39">
        <v>0</v>
      </c>
      <c r="C815" s="39">
        <v>3</v>
      </c>
      <c r="D815" s="40" t="s">
        <v>1123</v>
      </c>
      <c r="E815" s="40" t="s">
        <v>17</v>
      </c>
      <c r="F815" s="39">
        <v>6</v>
      </c>
      <c r="G815" s="39">
        <v>4</v>
      </c>
      <c r="H815" s="39">
        <v>2</v>
      </c>
      <c r="I815" s="40">
        <v>347082</v>
      </c>
      <c r="J815" s="41">
        <v>31.275</v>
      </c>
      <c r="L815" s="39" t="s">
        <v>15</v>
      </c>
      <c r="M815" s="38">
        <f t="shared" si="12"/>
        <v>6</v>
      </c>
    </row>
    <row r="816" customHeight="1" spans="1:13">
      <c r="A816" s="39">
        <v>815</v>
      </c>
      <c r="B816" s="39">
        <v>0</v>
      </c>
      <c r="C816" s="39">
        <v>3</v>
      </c>
      <c r="D816" s="40" t="s">
        <v>1124</v>
      </c>
      <c r="E816" s="40" t="s">
        <v>13</v>
      </c>
      <c r="F816" s="39">
        <v>30.5</v>
      </c>
      <c r="G816" s="39">
        <v>0</v>
      </c>
      <c r="H816" s="39">
        <v>0</v>
      </c>
      <c r="I816" s="40">
        <v>364499</v>
      </c>
      <c r="J816" s="41">
        <v>8.05</v>
      </c>
      <c r="L816" s="39" t="s">
        <v>15</v>
      </c>
      <c r="M816" s="38">
        <f t="shared" si="12"/>
        <v>30.5</v>
      </c>
    </row>
    <row r="817" customHeight="1" spans="1:13">
      <c r="A817" s="39">
        <v>816</v>
      </c>
      <c r="B817" s="39">
        <v>0</v>
      </c>
      <c r="C817" s="39">
        <v>1</v>
      </c>
      <c r="D817" s="40" t="s">
        <v>1125</v>
      </c>
      <c r="E817" s="40" t="s">
        <v>13</v>
      </c>
      <c r="G817" s="39">
        <v>0</v>
      </c>
      <c r="H817" s="39">
        <v>0</v>
      </c>
      <c r="I817" s="40">
        <v>112058</v>
      </c>
      <c r="J817" s="41">
        <v>0</v>
      </c>
      <c r="K817" s="42" t="s">
        <v>1126</v>
      </c>
      <c r="L817" s="39" t="s">
        <v>15</v>
      </c>
      <c r="M817" s="38">
        <f t="shared" si="12"/>
        <v>29.6991176470588</v>
      </c>
    </row>
    <row r="818" customHeight="1" spans="1:13">
      <c r="A818" s="39">
        <v>817</v>
      </c>
      <c r="B818" s="39">
        <v>0</v>
      </c>
      <c r="C818" s="39">
        <v>3</v>
      </c>
      <c r="D818" s="40" t="s">
        <v>1127</v>
      </c>
      <c r="E818" s="40" t="s">
        <v>17</v>
      </c>
      <c r="F818" s="39">
        <v>23</v>
      </c>
      <c r="G818" s="39">
        <v>0</v>
      </c>
      <c r="H818" s="39">
        <v>0</v>
      </c>
      <c r="I818" s="40" t="s">
        <v>1128</v>
      </c>
      <c r="J818" s="41">
        <v>7.925</v>
      </c>
      <c r="L818" s="39" t="s">
        <v>15</v>
      </c>
      <c r="M818" s="38">
        <f t="shared" si="12"/>
        <v>23</v>
      </c>
    </row>
    <row r="819" customHeight="1" spans="1:13">
      <c r="A819" s="39">
        <v>818</v>
      </c>
      <c r="B819" s="39">
        <v>0</v>
      </c>
      <c r="C819" s="39">
        <v>2</v>
      </c>
      <c r="D819" s="40" t="s">
        <v>1129</v>
      </c>
      <c r="E819" s="40" t="s">
        <v>13</v>
      </c>
      <c r="F819" s="39">
        <v>31</v>
      </c>
      <c r="G819" s="39">
        <v>1</v>
      </c>
      <c r="H819" s="39">
        <v>1</v>
      </c>
      <c r="I819" s="40" t="s">
        <v>1130</v>
      </c>
      <c r="J819" s="41">
        <v>37.0042</v>
      </c>
      <c r="L819" s="39" t="s">
        <v>20</v>
      </c>
      <c r="M819" s="38">
        <f t="shared" si="12"/>
        <v>31</v>
      </c>
    </row>
    <row r="820" customHeight="1" spans="1:13">
      <c r="A820" s="39">
        <v>819</v>
      </c>
      <c r="B820" s="39">
        <v>0</v>
      </c>
      <c r="C820" s="39">
        <v>3</v>
      </c>
      <c r="D820" s="40" t="s">
        <v>1131</v>
      </c>
      <c r="E820" s="40" t="s">
        <v>13</v>
      </c>
      <c r="F820" s="39">
        <v>43</v>
      </c>
      <c r="G820" s="39">
        <v>0</v>
      </c>
      <c r="H820" s="39">
        <v>0</v>
      </c>
      <c r="I820" s="40" t="s">
        <v>1132</v>
      </c>
      <c r="J820" s="41">
        <v>6.45</v>
      </c>
      <c r="L820" s="39" t="s">
        <v>15</v>
      </c>
      <c r="M820" s="38">
        <f t="shared" si="12"/>
        <v>43</v>
      </c>
    </row>
    <row r="821" customHeight="1" spans="1:13">
      <c r="A821" s="39">
        <v>820</v>
      </c>
      <c r="B821" s="39">
        <v>0</v>
      </c>
      <c r="C821" s="39">
        <v>3</v>
      </c>
      <c r="D821" s="40" t="s">
        <v>1133</v>
      </c>
      <c r="E821" s="40" t="s">
        <v>13</v>
      </c>
      <c r="F821" s="39">
        <v>10</v>
      </c>
      <c r="G821" s="39">
        <v>3</v>
      </c>
      <c r="H821" s="39">
        <v>2</v>
      </c>
      <c r="I821" s="40">
        <v>347088</v>
      </c>
      <c r="J821" s="41">
        <v>27.9</v>
      </c>
      <c r="L821" s="39" t="s">
        <v>15</v>
      </c>
      <c r="M821" s="38">
        <f t="shared" si="12"/>
        <v>10</v>
      </c>
    </row>
    <row r="822" customHeight="1" spans="1:13">
      <c r="A822" s="39">
        <v>821</v>
      </c>
      <c r="B822" s="39">
        <v>1</v>
      </c>
      <c r="C822" s="39">
        <v>1</v>
      </c>
      <c r="D822" s="40" t="s">
        <v>1134</v>
      </c>
      <c r="E822" s="40" t="s">
        <v>17</v>
      </c>
      <c r="F822" s="39">
        <v>52</v>
      </c>
      <c r="G822" s="39">
        <v>1</v>
      </c>
      <c r="H822" s="39">
        <v>1</v>
      </c>
      <c r="I822" s="40">
        <v>12749</v>
      </c>
      <c r="J822" s="41">
        <v>93.5</v>
      </c>
      <c r="K822" s="42" t="s">
        <v>1135</v>
      </c>
      <c r="L822" s="39" t="s">
        <v>15</v>
      </c>
      <c r="M822" s="38">
        <f t="shared" si="12"/>
        <v>52</v>
      </c>
    </row>
    <row r="823" customHeight="1" spans="1:13">
      <c r="A823" s="39">
        <v>822</v>
      </c>
      <c r="B823" s="39">
        <v>1</v>
      </c>
      <c r="C823" s="39">
        <v>3</v>
      </c>
      <c r="D823" s="40" t="s">
        <v>1136</v>
      </c>
      <c r="E823" s="40" t="s">
        <v>13</v>
      </c>
      <c r="F823" s="39">
        <v>27</v>
      </c>
      <c r="G823" s="39">
        <v>0</v>
      </c>
      <c r="H823" s="39">
        <v>0</v>
      </c>
      <c r="I823" s="40">
        <v>315098</v>
      </c>
      <c r="J823" s="41">
        <v>8.6625</v>
      </c>
      <c r="L823" s="39" t="s">
        <v>15</v>
      </c>
      <c r="M823" s="38">
        <f t="shared" si="12"/>
        <v>27</v>
      </c>
    </row>
    <row r="824" customHeight="1" spans="1:13">
      <c r="A824" s="39">
        <v>823</v>
      </c>
      <c r="B824" s="39">
        <v>0</v>
      </c>
      <c r="C824" s="39">
        <v>1</v>
      </c>
      <c r="D824" s="40" t="s">
        <v>1137</v>
      </c>
      <c r="E824" s="40" t="s">
        <v>13</v>
      </c>
      <c r="F824" s="39">
        <v>38</v>
      </c>
      <c r="G824" s="39">
        <v>0</v>
      </c>
      <c r="H824" s="39">
        <v>0</v>
      </c>
      <c r="I824" s="40">
        <v>19972</v>
      </c>
      <c r="J824" s="41">
        <v>0</v>
      </c>
      <c r="L824" s="39" t="s">
        <v>15</v>
      </c>
      <c r="M824" s="38">
        <f t="shared" si="12"/>
        <v>38</v>
      </c>
    </row>
    <row r="825" customHeight="1" spans="1:13">
      <c r="A825" s="39">
        <v>824</v>
      </c>
      <c r="B825" s="39">
        <v>1</v>
      </c>
      <c r="C825" s="39">
        <v>3</v>
      </c>
      <c r="D825" s="40" t="s">
        <v>1138</v>
      </c>
      <c r="E825" s="40" t="s">
        <v>17</v>
      </c>
      <c r="F825" s="39">
        <v>27</v>
      </c>
      <c r="G825" s="39">
        <v>0</v>
      </c>
      <c r="H825" s="39">
        <v>1</v>
      </c>
      <c r="I825" s="40">
        <v>392096</v>
      </c>
      <c r="J825" s="41">
        <v>12.475</v>
      </c>
      <c r="K825" s="42" t="s">
        <v>1048</v>
      </c>
      <c r="L825" s="39" t="s">
        <v>15</v>
      </c>
      <c r="M825" s="38">
        <f t="shared" si="12"/>
        <v>27</v>
      </c>
    </row>
    <row r="826" customHeight="1" spans="1:13">
      <c r="A826" s="39">
        <v>825</v>
      </c>
      <c r="B826" s="39">
        <v>0</v>
      </c>
      <c r="C826" s="39">
        <v>3</v>
      </c>
      <c r="D826" s="40" t="s">
        <v>1139</v>
      </c>
      <c r="E826" s="40" t="s">
        <v>13</v>
      </c>
      <c r="F826" s="39">
        <v>2</v>
      </c>
      <c r="G826" s="39">
        <v>4</v>
      </c>
      <c r="H826" s="39">
        <v>1</v>
      </c>
      <c r="I826" s="40">
        <v>3101295</v>
      </c>
      <c r="J826" s="41">
        <v>39.6875</v>
      </c>
      <c r="L826" s="39" t="s">
        <v>15</v>
      </c>
      <c r="M826" s="38">
        <f t="shared" si="12"/>
        <v>2</v>
      </c>
    </row>
    <row r="827" customHeight="1" spans="1:13">
      <c r="A827" s="39">
        <v>826</v>
      </c>
      <c r="B827" s="39">
        <v>0</v>
      </c>
      <c r="C827" s="39">
        <v>3</v>
      </c>
      <c r="D827" s="40" t="s">
        <v>1140</v>
      </c>
      <c r="E827" s="40" t="s">
        <v>13</v>
      </c>
      <c r="G827" s="39">
        <v>0</v>
      </c>
      <c r="H827" s="39">
        <v>0</v>
      </c>
      <c r="I827" s="40">
        <v>368323</v>
      </c>
      <c r="J827" s="41">
        <v>6.95</v>
      </c>
      <c r="L827" s="39" t="s">
        <v>27</v>
      </c>
      <c r="M827" s="38">
        <f t="shared" si="12"/>
        <v>29.6991176470588</v>
      </c>
    </row>
    <row r="828" customHeight="1" spans="1:13">
      <c r="A828" s="39">
        <v>827</v>
      </c>
      <c r="B828" s="39">
        <v>0</v>
      </c>
      <c r="C828" s="39">
        <v>3</v>
      </c>
      <c r="D828" s="40" t="s">
        <v>1141</v>
      </c>
      <c r="E828" s="40" t="s">
        <v>13</v>
      </c>
      <c r="G828" s="39">
        <v>0</v>
      </c>
      <c r="H828" s="39">
        <v>0</v>
      </c>
      <c r="I828" s="40">
        <v>1601</v>
      </c>
      <c r="J828" s="41">
        <v>56.4958</v>
      </c>
      <c r="L828" s="39" t="s">
        <v>15</v>
      </c>
      <c r="M828" s="38">
        <f t="shared" si="12"/>
        <v>29.6991176470588</v>
      </c>
    </row>
    <row r="829" customHeight="1" spans="1:13">
      <c r="A829" s="39">
        <v>828</v>
      </c>
      <c r="B829" s="39">
        <v>1</v>
      </c>
      <c r="C829" s="39">
        <v>2</v>
      </c>
      <c r="D829" s="40" t="s">
        <v>1142</v>
      </c>
      <c r="E829" s="40" t="s">
        <v>13</v>
      </c>
      <c r="F829" s="39">
        <v>1</v>
      </c>
      <c r="G829" s="39">
        <v>0</v>
      </c>
      <c r="H829" s="39">
        <v>2</v>
      </c>
      <c r="I829" s="40" t="s">
        <v>1130</v>
      </c>
      <c r="J829" s="41">
        <v>37.0042</v>
      </c>
      <c r="L829" s="39" t="s">
        <v>20</v>
      </c>
      <c r="M829" s="38">
        <f t="shared" si="12"/>
        <v>1</v>
      </c>
    </row>
    <row r="830" customHeight="1" spans="1:13">
      <c r="A830" s="39">
        <v>829</v>
      </c>
      <c r="B830" s="39">
        <v>1</v>
      </c>
      <c r="C830" s="39">
        <v>3</v>
      </c>
      <c r="D830" s="40" t="s">
        <v>1143</v>
      </c>
      <c r="E830" s="40" t="s">
        <v>13</v>
      </c>
      <c r="G830" s="39">
        <v>0</v>
      </c>
      <c r="H830" s="39">
        <v>0</v>
      </c>
      <c r="I830" s="40">
        <v>367228</v>
      </c>
      <c r="J830" s="41">
        <v>7.75</v>
      </c>
      <c r="L830" s="39" t="s">
        <v>27</v>
      </c>
      <c r="M830" s="38">
        <f t="shared" si="12"/>
        <v>29.6991176470588</v>
      </c>
    </row>
    <row r="831" customHeight="1" spans="1:13">
      <c r="A831" s="39">
        <v>830</v>
      </c>
      <c r="B831" s="39">
        <v>1</v>
      </c>
      <c r="C831" s="39">
        <v>1</v>
      </c>
      <c r="D831" s="40" t="s">
        <v>1144</v>
      </c>
      <c r="E831" s="40" t="s">
        <v>17</v>
      </c>
      <c r="F831" s="39">
        <v>62</v>
      </c>
      <c r="G831" s="39">
        <v>0</v>
      </c>
      <c r="H831" s="39">
        <v>0</v>
      </c>
      <c r="I831" s="40">
        <v>113572</v>
      </c>
      <c r="J831" s="41">
        <v>80</v>
      </c>
      <c r="K831" s="42" t="s">
        <v>108</v>
      </c>
      <c r="M831" s="38">
        <f t="shared" si="12"/>
        <v>62</v>
      </c>
    </row>
    <row r="832" customHeight="1" spans="1:13">
      <c r="A832" s="39">
        <v>831</v>
      </c>
      <c r="B832" s="39">
        <v>1</v>
      </c>
      <c r="C832" s="39">
        <v>3</v>
      </c>
      <c r="D832" s="40" t="s">
        <v>1145</v>
      </c>
      <c r="E832" s="40" t="s">
        <v>17</v>
      </c>
      <c r="F832" s="39">
        <v>15</v>
      </c>
      <c r="G832" s="39">
        <v>1</v>
      </c>
      <c r="H832" s="39">
        <v>0</v>
      </c>
      <c r="I832" s="40">
        <v>2659</v>
      </c>
      <c r="J832" s="41">
        <v>14.4542</v>
      </c>
      <c r="L832" s="39" t="s">
        <v>20</v>
      </c>
      <c r="M832" s="38">
        <f t="shared" si="12"/>
        <v>15</v>
      </c>
    </row>
    <row r="833" customHeight="1" spans="1:13">
      <c r="A833" s="39">
        <v>832</v>
      </c>
      <c r="B833" s="39">
        <v>1</v>
      </c>
      <c r="C833" s="39">
        <v>2</v>
      </c>
      <c r="D833" s="40" t="s">
        <v>1146</v>
      </c>
      <c r="E833" s="40" t="s">
        <v>13</v>
      </c>
      <c r="F833" s="39">
        <v>0.83</v>
      </c>
      <c r="G833" s="39">
        <v>1</v>
      </c>
      <c r="H833" s="39">
        <v>1</v>
      </c>
      <c r="I833" s="40">
        <v>29106</v>
      </c>
      <c r="J833" s="41">
        <v>18.75</v>
      </c>
      <c r="L833" s="39" t="s">
        <v>15</v>
      </c>
      <c r="M833" s="38">
        <f t="shared" si="12"/>
        <v>0.83</v>
      </c>
    </row>
    <row r="834" customHeight="1" spans="1:13">
      <c r="A834" s="39">
        <v>833</v>
      </c>
      <c r="B834" s="39">
        <v>0</v>
      </c>
      <c r="C834" s="39">
        <v>3</v>
      </c>
      <c r="D834" s="40" t="s">
        <v>1147</v>
      </c>
      <c r="E834" s="40" t="s">
        <v>13</v>
      </c>
      <c r="G834" s="39">
        <v>0</v>
      </c>
      <c r="H834" s="39">
        <v>0</v>
      </c>
      <c r="I834" s="40">
        <v>2671</v>
      </c>
      <c r="J834" s="41">
        <v>7.2292</v>
      </c>
      <c r="L834" s="39" t="s">
        <v>20</v>
      </c>
      <c r="M834" s="38">
        <f t="shared" ref="M834:M892" si="13">IF(F834="",AVERAGE($F$2:$F$892),F834)</f>
        <v>29.6991176470588</v>
      </c>
    </row>
    <row r="835" customHeight="1" spans="1:13">
      <c r="A835" s="39">
        <v>834</v>
      </c>
      <c r="B835" s="39">
        <v>0</v>
      </c>
      <c r="C835" s="39">
        <v>3</v>
      </c>
      <c r="D835" s="40" t="s">
        <v>1148</v>
      </c>
      <c r="E835" s="40" t="s">
        <v>13</v>
      </c>
      <c r="F835" s="39">
        <v>23</v>
      </c>
      <c r="G835" s="39">
        <v>0</v>
      </c>
      <c r="H835" s="39">
        <v>0</v>
      </c>
      <c r="I835" s="40">
        <v>347468</v>
      </c>
      <c r="J835" s="41">
        <v>7.8542</v>
      </c>
      <c r="L835" s="39" t="s">
        <v>15</v>
      </c>
      <c r="M835" s="38">
        <f t="shared" si="13"/>
        <v>23</v>
      </c>
    </row>
    <row r="836" customHeight="1" spans="1:13">
      <c r="A836" s="39">
        <v>835</v>
      </c>
      <c r="B836" s="39">
        <v>0</v>
      </c>
      <c r="C836" s="39">
        <v>3</v>
      </c>
      <c r="D836" s="40" t="s">
        <v>1149</v>
      </c>
      <c r="E836" s="40" t="s">
        <v>13</v>
      </c>
      <c r="F836" s="39">
        <v>18</v>
      </c>
      <c r="G836" s="39">
        <v>0</v>
      </c>
      <c r="H836" s="39">
        <v>0</v>
      </c>
      <c r="I836" s="40">
        <v>2223</v>
      </c>
      <c r="J836" s="41">
        <v>8.3</v>
      </c>
      <c r="L836" s="39" t="s">
        <v>15</v>
      </c>
      <c r="M836" s="38">
        <f t="shared" si="13"/>
        <v>18</v>
      </c>
    </row>
    <row r="837" customHeight="1" spans="1:13">
      <c r="A837" s="39">
        <v>836</v>
      </c>
      <c r="B837" s="39">
        <v>1</v>
      </c>
      <c r="C837" s="39">
        <v>1</v>
      </c>
      <c r="D837" s="40" t="s">
        <v>1150</v>
      </c>
      <c r="E837" s="40" t="s">
        <v>17</v>
      </c>
      <c r="F837" s="39">
        <v>39</v>
      </c>
      <c r="G837" s="39">
        <v>1</v>
      </c>
      <c r="H837" s="39">
        <v>1</v>
      </c>
      <c r="I837" s="40" t="s">
        <v>1151</v>
      </c>
      <c r="J837" s="41">
        <v>83.1583</v>
      </c>
      <c r="K837" s="42" t="s">
        <v>1152</v>
      </c>
      <c r="L837" s="39" t="s">
        <v>20</v>
      </c>
      <c r="M837" s="38">
        <f t="shared" si="13"/>
        <v>39</v>
      </c>
    </row>
    <row r="838" customHeight="1" spans="1:13">
      <c r="A838" s="39">
        <v>837</v>
      </c>
      <c r="B838" s="39">
        <v>0</v>
      </c>
      <c r="C838" s="39">
        <v>3</v>
      </c>
      <c r="D838" s="40" t="s">
        <v>1153</v>
      </c>
      <c r="E838" s="40" t="s">
        <v>13</v>
      </c>
      <c r="F838" s="39">
        <v>21</v>
      </c>
      <c r="G838" s="39">
        <v>0</v>
      </c>
      <c r="H838" s="39">
        <v>0</v>
      </c>
      <c r="I838" s="40">
        <v>315097</v>
      </c>
      <c r="J838" s="41">
        <v>8.6625</v>
      </c>
      <c r="L838" s="39" t="s">
        <v>15</v>
      </c>
      <c r="M838" s="38">
        <f t="shared" si="13"/>
        <v>21</v>
      </c>
    </row>
    <row r="839" customHeight="1" spans="1:13">
      <c r="A839" s="39">
        <v>838</v>
      </c>
      <c r="B839" s="39">
        <v>0</v>
      </c>
      <c r="C839" s="39">
        <v>3</v>
      </c>
      <c r="D839" s="40" t="s">
        <v>1154</v>
      </c>
      <c r="E839" s="40" t="s">
        <v>13</v>
      </c>
      <c r="G839" s="39">
        <v>0</v>
      </c>
      <c r="H839" s="39">
        <v>0</v>
      </c>
      <c r="I839" s="40">
        <v>392092</v>
      </c>
      <c r="J839" s="41">
        <v>8.05</v>
      </c>
      <c r="L839" s="39" t="s">
        <v>15</v>
      </c>
      <c r="M839" s="38">
        <f t="shared" si="13"/>
        <v>29.6991176470588</v>
      </c>
    </row>
    <row r="840" customHeight="1" spans="1:13">
      <c r="A840" s="39">
        <v>839</v>
      </c>
      <c r="B840" s="39">
        <v>1</v>
      </c>
      <c r="C840" s="39">
        <v>3</v>
      </c>
      <c r="D840" s="40" t="s">
        <v>1155</v>
      </c>
      <c r="E840" s="40" t="s">
        <v>13</v>
      </c>
      <c r="F840" s="39">
        <v>32</v>
      </c>
      <c r="G840" s="39">
        <v>0</v>
      </c>
      <c r="H840" s="39">
        <v>0</v>
      </c>
      <c r="I840" s="40">
        <v>1601</v>
      </c>
      <c r="J840" s="41">
        <v>56.4958</v>
      </c>
      <c r="L840" s="39" t="s">
        <v>15</v>
      </c>
      <c r="M840" s="38">
        <f t="shared" si="13"/>
        <v>32</v>
      </c>
    </row>
    <row r="841" customHeight="1" spans="1:13">
      <c r="A841" s="39">
        <v>840</v>
      </c>
      <c r="B841" s="39">
        <v>1</v>
      </c>
      <c r="C841" s="39">
        <v>1</v>
      </c>
      <c r="D841" s="40" t="s">
        <v>1156</v>
      </c>
      <c r="E841" s="40" t="s">
        <v>13</v>
      </c>
      <c r="G841" s="39">
        <v>0</v>
      </c>
      <c r="H841" s="39">
        <v>0</v>
      </c>
      <c r="I841" s="40">
        <v>11774</v>
      </c>
      <c r="J841" s="41">
        <v>29.7</v>
      </c>
      <c r="K841" s="42" t="s">
        <v>1157</v>
      </c>
      <c r="L841" s="39" t="s">
        <v>20</v>
      </c>
      <c r="M841" s="38">
        <f t="shared" si="13"/>
        <v>29.6991176470588</v>
      </c>
    </row>
    <row r="842" customHeight="1" spans="1:13">
      <c r="A842" s="39">
        <v>841</v>
      </c>
      <c r="B842" s="39">
        <v>0</v>
      </c>
      <c r="C842" s="39">
        <v>3</v>
      </c>
      <c r="D842" s="40" t="s">
        <v>1158</v>
      </c>
      <c r="E842" s="40" t="s">
        <v>13</v>
      </c>
      <c r="F842" s="39">
        <v>20</v>
      </c>
      <c r="G842" s="39">
        <v>0</v>
      </c>
      <c r="H842" s="39">
        <v>0</v>
      </c>
      <c r="I842" s="40" t="s">
        <v>1159</v>
      </c>
      <c r="J842" s="41">
        <v>7.925</v>
      </c>
      <c r="L842" s="39" t="s">
        <v>15</v>
      </c>
      <c r="M842" s="38">
        <f t="shared" si="13"/>
        <v>20</v>
      </c>
    </row>
    <row r="843" customHeight="1" spans="1:13">
      <c r="A843" s="39">
        <v>842</v>
      </c>
      <c r="B843" s="39">
        <v>0</v>
      </c>
      <c r="C843" s="39">
        <v>2</v>
      </c>
      <c r="D843" s="40" t="s">
        <v>1160</v>
      </c>
      <c r="E843" s="40" t="s">
        <v>13</v>
      </c>
      <c r="F843" s="39">
        <v>16</v>
      </c>
      <c r="G843" s="39">
        <v>0</v>
      </c>
      <c r="H843" s="39">
        <v>0</v>
      </c>
      <c r="I843" s="40" t="s">
        <v>1072</v>
      </c>
      <c r="J843" s="41">
        <v>10.5</v>
      </c>
      <c r="L843" s="39" t="s">
        <v>15</v>
      </c>
      <c r="M843" s="38">
        <f t="shared" si="13"/>
        <v>16</v>
      </c>
    </row>
    <row r="844" customHeight="1" spans="1:13">
      <c r="A844" s="39">
        <v>843</v>
      </c>
      <c r="B844" s="39">
        <v>1</v>
      </c>
      <c r="C844" s="39">
        <v>1</v>
      </c>
      <c r="D844" s="40" t="s">
        <v>1161</v>
      </c>
      <c r="E844" s="40" t="s">
        <v>17</v>
      </c>
      <c r="F844" s="39">
        <v>30</v>
      </c>
      <c r="G844" s="39">
        <v>0</v>
      </c>
      <c r="H844" s="39">
        <v>0</v>
      </c>
      <c r="I844" s="40">
        <v>113798</v>
      </c>
      <c r="J844" s="41">
        <v>31</v>
      </c>
      <c r="L844" s="39" t="s">
        <v>20</v>
      </c>
      <c r="M844" s="38">
        <f t="shared" si="13"/>
        <v>30</v>
      </c>
    </row>
    <row r="845" customHeight="1" spans="1:13">
      <c r="A845" s="39">
        <v>844</v>
      </c>
      <c r="B845" s="39">
        <v>0</v>
      </c>
      <c r="C845" s="39">
        <v>3</v>
      </c>
      <c r="D845" s="40" t="s">
        <v>1162</v>
      </c>
      <c r="E845" s="40" t="s">
        <v>13</v>
      </c>
      <c r="F845" s="39">
        <v>34.5</v>
      </c>
      <c r="G845" s="39">
        <v>0</v>
      </c>
      <c r="H845" s="39">
        <v>0</v>
      </c>
      <c r="I845" s="40">
        <v>2683</v>
      </c>
      <c r="J845" s="41">
        <v>6.4375</v>
      </c>
      <c r="L845" s="39" t="s">
        <v>20</v>
      </c>
      <c r="M845" s="38">
        <f t="shared" si="13"/>
        <v>34.5</v>
      </c>
    </row>
    <row r="846" customHeight="1" spans="1:13">
      <c r="A846" s="39">
        <v>845</v>
      </c>
      <c r="B846" s="39">
        <v>0</v>
      </c>
      <c r="C846" s="39">
        <v>3</v>
      </c>
      <c r="D846" s="40" t="s">
        <v>1163</v>
      </c>
      <c r="E846" s="40" t="s">
        <v>13</v>
      </c>
      <c r="F846" s="39">
        <v>17</v>
      </c>
      <c r="G846" s="39">
        <v>0</v>
      </c>
      <c r="H846" s="39">
        <v>0</v>
      </c>
      <c r="I846" s="40">
        <v>315090</v>
      </c>
      <c r="J846" s="41">
        <v>8.6625</v>
      </c>
      <c r="L846" s="39" t="s">
        <v>15</v>
      </c>
      <c r="M846" s="38">
        <f t="shared" si="13"/>
        <v>17</v>
      </c>
    </row>
    <row r="847" customHeight="1" spans="1:13">
      <c r="A847" s="39">
        <v>846</v>
      </c>
      <c r="B847" s="39">
        <v>0</v>
      </c>
      <c r="C847" s="39">
        <v>3</v>
      </c>
      <c r="D847" s="40" t="s">
        <v>1164</v>
      </c>
      <c r="E847" s="40" t="s">
        <v>13</v>
      </c>
      <c r="F847" s="39">
        <v>42</v>
      </c>
      <c r="G847" s="39">
        <v>0</v>
      </c>
      <c r="H847" s="39">
        <v>0</v>
      </c>
      <c r="I847" s="40" t="s">
        <v>1165</v>
      </c>
      <c r="J847" s="41">
        <v>7.55</v>
      </c>
      <c r="L847" s="39" t="s">
        <v>15</v>
      </c>
      <c r="M847" s="38">
        <f t="shared" si="13"/>
        <v>42</v>
      </c>
    </row>
    <row r="848" customHeight="1" spans="1:13">
      <c r="A848" s="39">
        <v>847</v>
      </c>
      <c r="B848" s="39">
        <v>0</v>
      </c>
      <c r="C848" s="39">
        <v>3</v>
      </c>
      <c r="D848" s="40" t="s">
        <v>1166</v>
      </c>
      <c r="E848" s="40" t="s">
        <v>13</v>
      </c>
      <c r="G848" s="39">
        <v>8</v>
      </c>
      <c r="H848" s="39">
        <v>2</v>
      </c>
      <c r="I848" s="40" t="s">
        <v>251</v>
      </c>
      <c r="J848" s="41">
        <v>69.55</v>
      </c>
      <c r="L848" s="39" t="s">
        <v>15</v>
      </c>
      <c r="M848" s="38">
        <f t="shared" si="13"/>
        <v>29.6991176470588</v>
      </c>
    </row>
    <row r="849" customHeight="1" spans="1:13">
      <c r="A849" s="39">
        <v>848</v>
      </c>
      <c r="B849" s="39">
        <v>0</v>
      </c>
      <c r="C849" s="39">
        <v>3</v>
      </c>
      <c r="D849" s="40" t="s">
        <v>1167</v>
      </c>
      <c r="E849" s="40" t="s">
        <v>13</v>
      </c>
      <c r="F849" s="39">
        <v>35</v>
      </c>
      <c r="G849" s="39">
        <v>0</v>
      </c>
      <c r="H849" s="39">
        <v>0</v>
      </c>
      <c r="I849" s="40">
        <v>349213</v>
      </c>
      <c r="J849" s="41">
        <v>7.8958</v>
      </c>
      <c r="L849" s="39" t="s">
        <v>20</v>
      </c>
      <c r="M849" s="38">
        <f t="shared" si="13"/>
        <v>35</v>
      </c>
    </row>
    <row r="850" customHeight="1" spans="1:13">
      <c r="A850" s="39">
        <v>849</v>
      </c>
      <c r="B850" s="39">
        <v>0</v>
      </c>
      <c r="C850" s="39">
        <v>2</v>
      </c>
      <c r="D850" s="40" t="s">
        <v>1168</v>
      </c>
      <c r="E850" s="40" t="s">
        <v>13</v>
      </c>
      <c r="F850" s="39">
        <v>28</v>
      </c>
      <c r="G850" s="39">
        <v>0</v>
      </c>
      <c r="H850" s="39">
        <v>1</v>
      </c>
      <c r="I850" s="40">
        <v>248727</v>
      </c>
      <c r="J850" s="41">
        <v>33</v>
      </c>
      <c r="L850" s="39" t="s">
        <v>15</v>
      </c>
      <c r="M850" s="38">
        <f t="shared" si="13"/>
        <v>28</v>
      </c>
    </row>
    <row r="851" customHeight="1" spans="1:13">
      <c r="A851" s="39">
        <v>850</v>
      </c>
      <c r="B851" s="39">
        <v>1</v>
      </c>
      <c r="C851" s="39">
        <v>1</v>
      </c>
      <c r="D851" s="40" t="s">
        <v>1169</v>
      </c>
      <c r="E851" s="40" t="s">
        <v>17</v>
      </c>
      <c r="G851" s="39">
        <v>1</v>
      </c>
      <c r="H851" s="39">
        <v>0</v>
      </c>
      <c r="I851" s="40">
        <v>17453</v>
      </c>
      <c r="J851" s="41">
        <v>89.1042</v>
      </c>
      <c r="K851" s="42" t="s">
        <v>655</v>
      </c>
      <c r="L851" s="39" t="s">
        <v>20</v>
      </c>
      <c r="M851" s="38">
        <f t="shared" si="13"/>
        <v>29.6991176470588</v>
      </c>
    </row>
    <row r="852" customHeight="1" spans="1:13">
      <c r="A852" s="39">
        <v>851</v>
      </c>
      <c r="B852" s="39">
        <v>0</v>
      </c>
      <c r="C852" s="39">
        <v>3</v>
      </c>
      <c r="D852" s="40" t="s">
        <v>1170</v>
      </c>
      <c r="E852" s="40" t="s">
        <v>13</v>
      </c>
      <c r="F852" s="39">
        <v>4</v>
      </c>
      <c r="G852" s="39">
        <v>4</v>
      </c>
      <c r="H852" s="39">
        <v>2</v>
      </c>
      <c r="I852" s="40">
        <v>347082</v>
      </c>
      <c r="J852" s="41">
        <v>31.275</v>
      </c>
      <c r="L852" s="39" t="s">
        <v>15</v>
      </c>
      <c r="M852" s="38">
        <f t="shared" si="13"/>
        <v>4</v>
      </c>
    </row>
    <row r="853" customHeight="1" spans="1:13">
      <c r="A853" s="39">
        <v>852</v>
      </c>
      <c r="B853" s="39">
        <v>0</v>
      </c>
      <c r="C853" s="39">
        <v>3</v>
      </c>
      <c r="D853" s="40" t="s">
        <v>1171</v>
      </c>
      <c r="E853" s="40" t="s">
        <v>13</v>
      </c>
      <c r="F853" s="39">
        <v>74</v>
      </c>
      <c r="G853" s="39">
        <v>0</v>
      </c>
      <c r="H853" s="39">
        <v>0</v>
      </c>
      <c r="I853" s="40">
        <v>347060</v>
      </c>
      <c r="J853" s="41">
        <v>7.775</v>
      </c>
      <c r="L853" s="39" t="s">
        <v>15</v>
      </c>
      <c r="M853" s="38">
        <f t="shared" si="13"/>
        <v>74</v>
      </c>
    </row>
    <row r="854" customHeight="1" spans="1:13">
      <c r="A854" s="39">
        <v>853</v>
      </c>
      <c r="B854" s="39">
        <v>0</v>
      </c>
      <c r="C854" s="39">
        <v>3</v>
      </c>
      <c r="D854" s="40" t="s">
        <v>1172</v>
      </c>
      <c r="E854" s="40" t="s">
        <v>17</v>
      </c>
      <c r="F854" s="39">
        <v>9</v>
      </c>
      <c r="G854" s="39">
        <v>1</v>
      </c>
      <c r="H854" s="39">
        <v>1</v>
      </c>
      <c r="I854" s="40">
        <v>2678</v>
      </c>
      <c r="J854" s="41">
        <v>15.2458</v>
      </c>
      <c r="L854" s="39" t="s">
        <v>20</v>
      </c>
      <c r="M854" s="38">
        <f t="shared" si="13"/>
        <v>9</v>
      </c>
    </row>
    <row r="855" customHeight="1" spans="1:13">
      <c r="A855" s="39">
        <v>854</v>
      </c>
      <c r="B855" s="39">
        <v>1</v>
      </c>
      <c r="C855" s="39">
        <v>1</v>
      </c>
      <c r="D855" s="40" t="s">
        <v>1173</v>
      </c>
      <c r="E855" s="40" t="s">
        <v>17</v>
      </c>
      <c r="F855" s="39">
        <v>16</v>
      </c>
      <c r="G855" s="39">
        <v>0</v>
      </c>
      <c r="H855" s="39">
        <v>1</v>
      </c>
      <c r="I855" s="40" t="s">
        <v>1174</v>
      </c>
      <c r="J855" s="41">
        <v>39.4</v>
      </c>
      <c r="K855" s="42" t="s">
        <v>1175</v>
      </c>
      <c r="L855" s="39" t="s">
        <v>15</v>
      </c>
      <c r="M855" s="38">
        <f t="shared" si="13"/>
        <v>16</v>
      </c>
    </row>
    <row r="856" customHeight="1" spans="1:13">
      <c r="A856" s="39">
        <v>855</v>
      </c>
      <c r="B856" s="39">
        <v>0</v>
      </c>
      <c r="C856" s="39">
        <v>2</v>
      </c>
      <c r="D856" s="40" t="s">
        <v>1176</v>
      </c>
      <c r="E856" s="40" t="s">
        <v>17</v>
      </c>
      <c r="F856" s="39">
        <v>44</v>
      </c>
      <c r="G856" s="39">
        <v>1</v>
      </c>
      <c r="H856" s="39">
        <v>0</v>
      </c>
      <c r="I856" s="40">
        <v>244252</v>
      </c>
      <c r="J856" s="41">
        <v>26</v>
      </c>
      <c r="L856" s="39" t="s">
        <v>15</v>
      </c>
      <c r="M856" s="38">
        <f t="shared" si="13"/>
        <v>44</v>
      </c>
    </row>
    <row r="857" customHeight="1" spans="1:13">
      <c r="A857" s="39">
        <v>856</v>
      </c>
      <c r="B857" s="39">
        <v>1</v>
      </c>
      <c r="C857" s="39">
        <v>3</v>
      </c>
      <c r="D857" s="40" t="s">
        <v>1177</v>
      </c>
      <c r="E857" s="40" t="s">
        <v>17</v>
      </c>
      <c r="F857" s="39">
        <v>18</v>
      </c>
      <c r="G857" s="39">
        <v>0</v>
      </c>
      <c r="H857" s="39">
        <v>1</v>
      </c>
      <c r="I857" s="40">
        <v>392091</v>
      </c>
      <c r="J857" s="41">
        <v>9.35</v>
      </c>
      <c r="L857" s="39" t="s">
        <v>15</v>
      </c>
      <c r="M857" s="38">
        <f t="shared" si="13"/>
        <v>18</v>
      </c>
    </row>
    <row r="858" customHeight="1" spans="1:13">
      <c r="A858" s="39">
        <v>857</v>
      </c>
      <c r="B858" s="39">
        <v>1</v>
      </c>
      <c r="C858" s="39">
        <v>1</v>
      </c>
      <c r="D858" s="40" t="s">
        <v>1178</v>
      </c>
      <c r="E858" s="40" t="s">
        <v>17</v>
      </c>
      <c r="F858" s="39">
        <v>45</v>
      </c>
      <c r="G858" s="39">
        <v>1</v>
      </c>
      <c r="H858" s="39">
        <v>1</v>
      </c>
      <c r="I858" s="40">
        <v>36928</v>
      </c>
      <c r="J858" s="41">
        <v>164.8667</v>
      </c>
      <c r="L858" s="39" t="s">
        <v>15</v>
      </c>
      <c r="M858" s="38">
        <f t="shared" si="13"/>
        <v>45</v>
      </c>
    </row>
    <row r="859" customHeight="1" spans="1:13">
      <c r="A859" s="39">
        <v>858</v>
      </c>
      <c r="B859" s="39">
        <v>1</v>
      </c>
      <c r="C859" s="39">
        <v>1</v>
      </c>
      <c r="D859" s="40" t="s">
        <v>1179</v>
      </c>
      <c r="E859" s="40" t="s">
        <v>13</v>
      </c>
      <c r="F859" s="39">
        <v>51</v>
      </c>
      <c r="G859" s="39">
        <v>0</v>
      </c>
      <c r="H859" s="39">
        <v>0</v>
      </c>
      <c r="I859" s="40">
        <v>113055</v>
      </c>
      <c r="J859" s="41">
        <v>26.55</v>
      </c>
      <c r="K859" s="42" t="s">
        <v>1180</v>
      </c>
      <c r="L859" s="39" t="s">
        <v>15</v>
      </c>
      <c r="M859" s="38">
        <f t="shared" si="13"/>
        <v>51</v>
      </c>
    </row>
    <row r="860" customHeight="1" spans="1:13">
      <c r="A860" s="39">
        <v>859</v>
      </c>
      <c r="B860" s="39">
        <v>1</v>
      </c>
      <c r="C860" s="39">
        <v>3</v>
      </c>
      <c r="D860" s="40" t="s">
        <v>1181</v>
      </c>
      <c r="E860" s="40" t="s">
        <v>17</v>
      </c>
      <c r="F860" s="39">
        <v>24</v>
      </c>
      <c r="G860" s="39">
        <v>0</v>
      </c>
      <c r="H860" s="39">
        <v>3</v>
      </c>
      <c r="I860" s="40">
        <v>2666</v>
      </c>
      <c r="J860" s="41">
        <v>19.2583</v>
      </c>
      <c r="L860" s="39" t="s">
        <v>20</v>
      </c>
      <c r="M860" s="38">
        <f t="shared" si="13"/>
        <v>24</v>
      </c>
    </row>
    <row r="861" customHeight="1" spans="1:13">
      <c r="A861" s="39">
        <v>860</v>
      </c>
      <c r="B861" s="39">
        <v>0</v>
      </c>
      <c r="C861" s="39">
        <v>3</v>
      </c>
      <c r="D861" s="40" t="s">
        <v>1182</v>
      </c>
      <c r="E861" s="40" t="s">
        <v>13</v>
      </c>
      <c r="G861" s="39">
        <v>0</v>
      </c>
      <c r="H861" s="39">
        <v>0</v>
      </c>
      <c r="I861" s="40">
        <v>2629</v>
      </c>
      <c r="J861" s="41">
        <v>7.2292</v>
      </c>
      <c r="L861" s="39" t="s">
        <v>20</v>
      </c>
      <c r="M861" s="38">
        <f t="shared" si="13"/>
        <v>29.6991176470588</v>
      </c>
    </row>
    <row r="862" customHeight="1" spans="1:13">
      <c r="A862" s="39">
        <v>861</v>
      </c>
      <c r="B862" s="39">
        <v>0</v>
      </c>
      <c r="C862" s="39">
        <v>3</v>
      </c>
      <c r="D862" s="40" t="s">
        <v>1183</v>
      </c>
      <c r="E862" s="40" t="s">
        <v>13</v>
      </c>
      <c r="F862" s="39">
        <v>41</v>
      </c>
      <c r="G862" s="39">
        <v>2</v>
      </c>
      <c r="H862" s="39">
        <v>0</v>
      </c>
      <c r="I862" s="40">
        <v>350026</v>
      </c>
      <c r="J862" s="41">
        <v>14.1083</v>
      </c>
      <c r="L862" s="39" t="s">
        <v>15</v>
      </c>
      <c r="M862" s="38">
        <f t="shared" si="13"/>
        <v>41</v>
      </c>
    </row>
    <row r="863" customHeight="1" spans="1:13">
      <c r="A863" s="39">
        <v>862</v>
      </c>
      <c r="B863" s="39">
        <v>0</v>
      </c>
      <c r="C863" s="39">
        <v>2</v>
      </c>
      <c r="D863" s="40" t="s">
        <v>1184</v>
      </c>
      <c r="E863" s="40" t="s">
        <v>13</v>
      </c>
      <c r="F863" s="39">
        <v>21</v>
      </c>
      <c r="G863" s="39">
        <v>1</v>
      </c>
      <c r="H863" s="39">
        <v>0</v>
      </c>
      <c r="I863" s="40">
        <v>28134</v>
      </c>
      <c r="J863" s="41">
        <v>11.5</v>
      </c>
      <c r="L863" s="39" t="s">
        <v>15</v>
      </c>
      <c r="M863" s="38">
        <f t="shared" si="13"/>
        <v>21</v>
      </c>
    </row>
    <row r="864" customHeight="1" spans="1:13">
      <c r="A864" s="39">
        <v>863</v>
      </c>
      <c r="B864" s="39">
        <v>1</v>
      </c>
      <c r="C864" s="39">
        <v>1</v>
      </c>
      <c r="D864" s="40" t="s">
        <v>1185</v>
      </c>
      <c r="E864" s="40" t="s">
        <v>17</v>
      </c>
      <c r="F864" s="39">
        <v>48</v>
      </c>
      <c r="G864" s="39">
        <v>0</v>
      </c>
      <c r="H864" s="39">
        <v>0</v>
      </c>
      <c r="I864" s="40">
        <v>17466</v>
      </c>
      <c r="J864" s="41">
        <v>25.9292</v>
      </c>
      <c r="K864" s="42" t="s">
        <v>1105</v>
      </c>
      <c r="L864" s="39" t="s">
        <v>15</v>
      </c>
      <c r="M864" s="38">
        <f t="shared" si="13"/>
        <v>48</v>
      </c>
    </row>
    <row r="865" customHeight="1" spans="1:16">
      <c r="A865" s="39">
        <v>864</v>
      </c>
      <c r="B865" s="39">
        <v>0</v>
      </c>
      <c r="C865" s="39">
        <v>3</v>
      </c>
      <c r="D865" s="40" t="s">
        <v>1186</v>
      </c>
      <c r="E865" s="40" t="s">
        <v>17</v>
      </c>
      <c r="G865" s="39">
        <v>8</v>
      </c>
      <c r="H865" s="39">
        <v>2</v>
      </c>
      <c r="I865" s="40" t="s">
        <v>251</v>
      </c>
      <c r="J865" s="41">
        <v>69.55</v>
      </c>
      <c r="L865" s="39" t="s">
        <v>15</v>
      </c>
      <c r="M865" s="38">
        <f t="shared" si="13"/>
        <v>29.6991176470588</v>
      </c>
    </row>
    <row r="866" customHeight="1" spans="1:16">
      <c r="A866" s="39">
        <v>865</v>
      </c>
      <c r="B866" s="39">
        <v>0</v>
      </c>
      <c r="C866" s="39">
        <v>2</v>
      </c>
      <c r="D866" s="40" t="s">
        <v>1187</v>
      </c>
      <c r="E866" s="40" t="s">
        <v>13</v>
      </c>
      <c r="F866" s="39">
        <v>24</v>
      </c>
      <c r="G866" s="39">
        <v>0</v>
      </c>
      <c r="H866" s="39">
        <v>0</v>
      </c>
      <c r="I866" s="40">
        <v>233866</v>
      </c>
      <c r="J866" s="41">
        <v>13</v>
      </c>
      <c r="L866" s="39" t="s">
        <v>15</v>
      </c>
      <c r="M866" s="38">
        <f t="shared" si="13"/>
        <v>24</v>
      </c>
    </row>
    <row r="867" customHeight="1" spans="1:16">
      <c r="A867" s="39">
        <v>866</v>
      </c>
      <c r="B867" s="39">
        <v>1</v>
      </c>
      <c r="C867" s="39">
        <v>2</v>
      </c>
      <c r="D867" s="40" t="s">
        <v>1188</v>
      </c>
      <c r="E867" s="40" t="s">
        <v>17</v>
      </c>
      <c r="F867" s="39">
        <v>42</v>
      </c>
      <c r="G867" s="39">
        <v>0</v>
      </c>
      <c r="H867" s="39">
        <v>0</v>
      </c>
      <c r="I867" s="40">
        <v>236852</v>
      </c>
      <c r="J867" s="41">
        <v>13</v>
      </c>
      <c r="L867" s="39" t="s">
        <v>15</v>
      </c>
      <c r="M867" s="38">
        <f t="shared" si="13"/>
        <v>42</v>
      </c>
    </row>
    <row r="868" customHeight="1" spans="1:16">
      <c r="A868" s="39">
        <v>867</v>
      </c>
      <c r="B868" s="39">
        <v>1</v>
      </c>
      <c r="C868" s="39">
        <v>2</v>
      </c>
      <c r="D868" s="40" t="s">
        <v>1189</v>
      </c>
      <c r="E868" s="40" t="s">
        <v>17</v>
      </c>
      <c r="F868" s="39">
        <v>27</v>
      </c>
      <c r="G868" s="39">
        <v>1</v>
      </c>
      <c r="H868" s="39">
        <v>0</v>
      </c>
      <c r="I868" s="40" t="s">
        <v>1190</v>
      </c>
      <c r="J868" s="41">
        <v>13.8583</v>
      </c>
      <c r="L868" s="39" t="s">
        <v>20</v>
      </c>
      <c r="M868" s="38">
        <f t="shared" si="13"/>
        <v>27</v>
      </c>
    </row>
    <row r="869" customHeight="1" spans="1:16">
      <c r="A869" s="39">
        <v>868</v>
      </c>
      <c r="B869" s="39">
        <v>0</v>
      </c>
      <c r="C869" s="39">
        <v>1</v>
      </c>
      <c r="D869" s="40" t="s">
        <v>1191</v>
      </c>
      <c r="E869" s="40" t="s">
        <v>13</v>
      </c>
      <c r="F869" s="39">
        <v>31</v>
      </c>
      <c r="G869" s="39">
        <v>0</v>
      </c>
      <c r="H869" s="39">
        <v>0</v>
      </c>
      <c r="I869" s="40" t="s">
        <v>1192</v>
      </c>
      <c r="J869" s="41">
        <v>50.4958</v>
      </c>
      <c r="K869" s="42" t="s">
        <v>1193</v>
      </c>
      <c r="L869" s="39" t="s">
        <v>15</v>
      </c>
      <c r="M869" s="38">
        <f t="shared" si="13"/>
        <v>31</v>
      </c>
      <c r="P869" s="46"/>
    </row>
    <row r="870" customHeight="1" spans="1:16">
      <c r="A870" s="39">
        <v>869</v>
      </c>
      <c r="B870" s="39">
        <v>0</v>
      </c>
      <c r="C870" s="39">
        <v>3</v>
      </c>
      <c r="D870" s="40" t="s">
        <v>1194</v>
      </c>
      <c r="E870" s="40" t="s">
        <v>13</v>
      </c>
      <c r="G870" s="39">
        <v>0</v>
      </c>
      <c r="H870" s="39">
        <v>0</v>
      </c>
      <c r="I870" s="40">
        <v>345777</v>
      </c>
      <c r="J870" s="41">
        <v>9.5</v>
      </c>
      <c r="L870" s="39" t="s">
        <v>15</v>
      </c>
      <c r="M870" s="38">
        <f t="shared" si="13"/>
        <v>29.6991176470588</v>
      </c>
    </row>
    <row r="871" customHeight="1" spans="1:16">
      <c r="A871" s="39">
        <v>870</v>
      </c>
      <c r="B871" s="39">
        <v>1</v>
      </c>
      <c r="C871" s="39">
        <v>3</v>
      </c>
      <c r="D871" s="40" t="s">
        <v>1195</v>
      </c>
      <c r="E871" s="40" t="s">
        <v>13</v>
      </c>
      <c r="F871" s="39">
        <v>4</v>
      </c>
      <c r="G871" s="39">
        <v>1</v>
      </c>
      <c r="H871" s="39">
        <v>1</v>
      </c>
      <c r="I871" s="40">
        <v>347742</v>
      </c>
      <c r="J871" s="41">
        <v>11.1333</v>
      </c>
      <c r="L871" s="39" t="s">
        <v>15</v>
      </c>
      <c r="M871" s="38">
        <f t="shared" si="13"/>
        <v>4</v>
      </c>
    </row>
    <row r="872" customHeight="1" spans="1:16">
      <c r="A872" s="39">
        <v>871</v>
      </c>
      <c r="B872" s="39">
        <v>0</v>
      </c>
      <c r="C872" s="39">
        <v>3</v>
      </c>
      <c r="D872" s="40" t="s">
        <v>1196</v>
      </c>
      <c r="E872" s="40" t="s">
        <v>13</v>
      </c>
      <c r="F872" s="39">
        <v>26</v>
      </c>
      <c r="G872" s="39">
        <v>0</v>
      </c>
      <c r="H872" s="39">
        <v>0</v>
      </c>
      <c r="I872" s="40">
        <v>349248</v>
      </c>
      <c r="J872" s="41">
        <v>7.8958</v>
      </c>
      <c r="L872" s="39" t="s">
        <v>15</v>
      </c>
      <c r="M872" s="38">
        <f t="shared" si="13"/>
        <v>26</v>
      </c>
    </row>
    <row r="873" customHeight="1" spans="1:16">
      <c r="A873" s="39">
        <v>872</v>
      </c>
      <c r="B873" s="39">
        <v>1</v>
      </c>
      <c r="C873" s="39">
        <v>1</v>
      </c>
      <c r="D873" s="40" t="s">
        <v>1197</v>
      </c>
      <c r="E873" s="40" t="s">
        <v>17</v>
      </c>
      <c r="F873" s="39">
        <v>47</v>
      </c>
      <c r="G873" s="39">
        <v>1</v>
      </c>
      <c r="H873" s="39">
        <v>1</v>
      </c>
      <c r="I873" s="40">
        <v>11751</v>
      </c>
      <c r="J873" s="41">
        <v>52.5542</v>
      </c>
      <c r="K873" s="42" t="s">
        <v>377</v>
      </c>
      <c r="L873" s="39" t="s">
        <v>15</v>
      </c>
      <c r="M873" s="38">
        <f t="shared" si="13"/>
        <v>47</v>
      </c>
    </row>
    <row r="874" customHeight="1" spans="1:16">
      <c r="A874" s="39">
        <v>873</v>
      </c>
      <c r="B874" s="39">
        <v>0</v>
      </c>
      <c r="C874" s="39">
        <v>1</v>
      </c>
      <c r="D874" s="40" t="s">
        <v>1198</v>
      </c>
      <c r="E874" s="40" t="s">
        <v>13</v>
      </c>
      <c r="F874" s="39">
        <v>33</v>
      </c>
      <c r="G874" s="39">
        <v>0</v>
      </c>
      <c r="H874" s="39">
        <v>0</v>
      </c>
      <c r="I874" s="40">
        <v>695</v>
      </c>
      <c r="J874" s="41">
        <v>5</v>
      </c>
      <c r="K874" s="42" t="s">
        <v>957</v>
      </c>
      <c r="L874" s="39" t="s">
        <v>15</v>
      </c>
      <c r="M874" s="38">
        <f t="shared" si="13"/>
        <v>33</v>
      </c>
    </row>
    <row r="875" customHeight="1" spans="1:16">
      <c r="A875" s="39">
        <v>874</v>
      </c>
      <c r="B875" s="39">
        <v>0</v>
      </c>
      <c r="C875" s="39">
        <v>3</v>
      </c>
      <c r="D875" s="40" t="s">
        <v>1199</v>
      </c>
      <c r="E875" s="40" t="s">
        <v>13</v>
      </c>
      <c r="F875" s="39">
        <v>47</v>
      </c>
      <c r="G875" s="39">
        <v>0</v>
      </c>
      <c r="H875" s="39">
        <v>0</v>
      </c>
      <c r="I875" s="40">
        <v>345765</v>
      </c>
      <c r="J875" s="41">
        <v>9</v>
      </c>
      <c r="L875" s="39" t="s">
        <v>15</v>
      </c>
      <c r="M875" s="38">
        <f t="shared" si="13"/>
        <v>47</v>
      </c>
    </row>
    <row r="876" customHeight="1" spans="1:16">
      <c r="A876" s="39">
        <v>875</v>
      </c>
      <c r="B876" s="39">
        <v>1</v>
      </c>
      <c r="C876" s="39">
        <v>2</v>
      </c>
      <c r="D876" s="40" t="s">
        <v>1200</v>
      </c>
      <c r="E876" s="40" t="s">
        <v>17</v>
      </c>
      <c r="F876" s="39">
        <v>28</v>
      </c>
      <c r="G876" s="39">
        <v>1</v>
      </c>
      <c r="H876" s="39">
        <v>0</v>
      </c>
      <c r="I876" s="40" t="s">
        <v>465</v>
      </c>
      <c r="J876" s="41">
        <v>24</v>
      </c>
      <c r="L876" s="39" t="s">
        <v>20</v>
      </c>
      <c r="M876" s="38">
        <f t="shared" si="13"/>
        <v>28</v>
      </c>
    </row>
    <row r="877" customHeight="1" spans="1:16">
      <c r="A877" s="39">
        <v>876</v>
      </c>
      <c r="B877" s="39">
        <v>1</v>
      </c>
      <c r="C877" s="39">
        <v>3</v>
      </c>
      <c r="D877" s="40" t="s">
        <v>1201</v>
      </c>
      <c r="E877" s="40" t="s">
        <v>17</v>
      </c>
      <c r="F877" s="39">
        <v>15</v>
      </c>
      <c r="G877" s="39">
        <v>0</v>
      </c>
      <c r="H877" s="39">
        <v>0</v>
      </c>
      <c r="I877" s="40">
        <v>2667</v>
      </c>
      <c r="J877" s="41">
        <v>7.225</v>
      </c>
      <c r="L877" s="39" t="s">
        <v>20</v>
      </c>
      <c r="M877" s="38">
        <f t="shared" si="13"/>
        <v>15</v>
      </c>
    </row>
    <row r="878" customHeight="1" spans="1:16">
      <c r="A878" s="39">
        <v>877</v>
      </c>
      <c r="B878" s="39">
        <v>0</v>
      </c>
      <c r="C878" s="39">
        <v>3</v>
      </c>
      <c r="D878" s="40" t="s">
        <v>1202</v>
      </c>
      <c r="E878" s="40" t="s">
        <v>13</v>
      </c>
      <c r="F878" s="39">
        <v>20</v>
      </c>
      <c r="G878" s="39">
        <v>0</v>
      </c>
      <c r="H878" s="39">
        <v>0</v>
      </c>
      <c r="I878" s="40">
        <v>7534</v>
      </c>
      <c r="J878" s="41">
        <v>9.8458</v>
      </c>
      <c r="L878" s="39" t="s">
        <v>15</v>
      </c>
      <c r="M878" s="38">
        <f t="shared" si="13"/>
        <v>20</v>
      </c>
    </row>
    <row r="879" customHeight="1" spans="1:16">
      <c r="A879" s="39">
        <v>878</v>
      </c>
      <c r="B879" s="39">
        <v>0</v>
      </c>
      <c r="C879" s="39">
        <v>3</v>
      </c>
      <c r="D879" s="40" t="s">
        <v>1203</v>
      </c>
      <c r="E879" s="40" t="s">
        <v>13</v>
      </c>
      <c r="F879" s="39">
        <v>19</v>
      </c>
      <c r="G879" s="39">
        <v>0</v>
      </c>
      <c r="H879" s="39">
        <v>0</v>
      </c>
      <c r="I879" s="40">
        <v>349212</v>
      </c>
      <c r="J879" s="41">
        <v>7.8958</v>
      </c>
      <c r="L879" s="39" t="s">
        <v>15</v>
      </c>
      <c r="M879" s="38">
        <f t="shared" si="13"/>
        <v>19</v>
      </c>
    </row>
    <row r="880" customHeight="1" spans="1:16">
      <c r="A880" s="39">
        <v>879</v>
      </c>
      <c r="B880" s="39">
        <v>0</v>
      </c>
      <c r="C880" s="39">
        <v>3</v>
      </c>
      <c r="D880" s="40" t="s">
        <v>1204</v>
      </c>
      <c r="E880" s="40" t="s">
        <v>13</v>
      </c>
      <c r="G880" s="39">
        <v>0</v>
      </c>
      <c r="H880" s="39">
        <v>0</v>
      </c>
      <c r="I880" s="40">
        <v>349217</v>
      </c>
      <c r="J880" s="41">
        <v>7.8958</v>
      </c>
      <c r="L880" s="39" t="s">
        <v>15</v>
      </c>
      <c r="M880" s="38">
        <f t="shared" si="13"/>
        <v>29.6991176470588</v>
      </c>
    </row>
    <row r="881" customHeight="1" spans="1:13">
      <c r="A881" s="39">
        <v>880</v>
      </c>
      <c r="B881" s="39">
        <v>1</v>
      </c>
      <c r="C881" s="39">
        <v>1</v>
      </c>
      <c r="D881" s="40" t="s">
        <v>1205</v>
      </c>
      <c r="E881" s="40" t="s">
        <v>17</v>
      </c>
      <c r="F881" s="39">
        <v>56</v>
      </c>
      <c r="G881" s="39">
        <v>0</v>
      </c>
      <c r="H881" s="39">
        <v>1</v>
      </c>
      <c r="I881" s="40">
        <v>11767</v>
      </c>
      <c r="J881" s="41">
        <v>83.1583</v>
      </c>
      <c r="K881" s="42" t="s">
        <v>1206</v>
      </c>
      <c r="L881" s="39" t="s">
        <v>20</v>
      </c>
      <c r="M881" s="38">
        <f t="shared" si="13"/>
        <v>56</v>
      </c>
    </row>
    <row r="882" customHeight="1" spans="1:13">
      <c r="A882" s="39">
        <v>881</v>
      </c>
      <c r="B882" s="39">
        <v>1</v>
      </c>
      <c r="C882" s="39">
        <v>2</v>
      </c>
      <c r="D882" s="40" t="s">
        <v>1207</v>
      </c>
      <c r="E882" s="40" t="s">
        <v>17</v>
      </c>
      <c r="F882" s="39">
        <v>25</v>
      </c>
      <c r="G882" s="39">
        <v>0</v>
      </c>
      <c r="H882" s="39">
        <v>1</v>
      </c>
      <c r="I882" s="40">
        <v>230433</v>
      </c>
      <c r="J882" s="41">
        <v>26</v>
      </c>
      <c r="L882" s="39" t="s">
        <v>15</v>
      </c>
      <c r="M882" s="38">
        <f t="shared" si="13"/>
        <v>25</v>
      </c>
    </row>
    <row r="883" customHeight="1" spans="1:13">
      <c r="A883" s="39">
        <v>882</v>
      </c>
      <c r="B883" s="39">
        <v>0</v>
      </c>
      <c r="C883" s="39">
        <v>3</v>
      </c>
      <c r="D883" s="40" t="s">
        <v>1208</v>
      </c>
      <c r="E883" s="40" t="s">
        <v>13</v>
      </c>
      <c r="F883" s="39">
        <v>33</v>
      </c>
      <c r="G883" s="39">
        <v>0</v>
      </c>
      <c r="H883" s="39">
        <v>0</v>
      </c>
      <c r="I883" s="40">
        <v>349257</v>
      </c>
      <c r="J883" s="41">
        <v>7.8958</v>
      </c>
      <c r="L883" s="39" t="s">
        <v>15</v>
      </c>
      <c r="M883" s="38">
        <f t="shared" si="13"/>
        <v>33</v>
      </c>
    </row>
    <row r="884" customHeight="1" spans="1:13">
      <c r="A884" s="39">
        <v>883</v>
      </c>
      <c r="B884" s="39">
        <v>0</v>
      </c>
      <c r="C884" s="39">
        <v>3</v>
      </c>
      <c r="D884" s="40" t="s">
        <v>1209</v>
      </c>
      <c r="E884" s="40" t="s">
        <v>17</v>
      </c>
      <c r="F884" s="39">
        <v>22</v>
      </c>
      <c r="G884" s="39">
        <v>0</v>
      </c>
      <c r="H884" s="39">
        <v>0</v>
      </c>
      <c r="I884" s="40">
        <v>7552</v>
      </c>
      <c r="J884" s="41">
        <v>10.5167</v>
      </c>
      <c r="L884" s="39" t="s">
        <v>15</v>
      </c>
      <c r="M884" s="38">
        <f t="shared" si="13"/>
        <v>22</v>
      </c>
    </row>
    <row r="885" customHeight="1" spans="1:13">
      <c r="A885" s="39">
        <v>884</v>
      </c>
      <c r="B885" s="39">
        <v>0</v>
      </c>
      <c r="C885" s="39">
        <v>2</v>
      </c>
      <c r="D885" s="40" t="s">
        <v>1210</v>
      </c>
      <c r="E885" s="40" t="s">
        <v>13</v>
      </c>
      <c r="F885" s="39">
        <v>28</v>
      </c>
      <c r="G885" s="39">
        <v>0</v>
      </c>
      <c r="H885" s="39">
        <v>0</v>
      </c>
      <c r="I885" s="40" t="s">
        <v>1211</v>
      </c>
      <c r="J885" s="41">
        <v>10.5</v>
      </c>
      <c r="L885" s="39" t="s">
        <v>15</v>
      </c>
      <c r="M885" s="38">
        <f t="shared" si="13"/>
        <v>28</v>
      </c>
    </row>
    <row r="886" customHeight="1" spans="1:13">
      <c r="A886" s="39">
        <v>885</v>
      </c>
      <c r="B886" s="39">
        <v>0</v>
      </c>
      <c r="C886" s="39">
        <v>3</v>
      </c>
      <c r="D886" s="40" t="s">
        <v>1212</v>
      </c>
      <c r="E886" s="40" t="s">
        <v>13</v>
      </c>
      <c r="F886" s="39">
        <v>25</v>
      </c>
      <c r="G886" s="39">
        <v>0</v>
      </c>
      <c r="H886" s="39">
        <v>0</v>
      </c>
      <c r="I886" s="40" t="s">
        <v>1213</v>
      </c>
      <c r="J886" s="41">
        <v>7.05</v>
      </c>
      <c r="L886" s="39" t="s">
        <v>15</v>
      </c>
      <c r="M886" s="38">
        <f t="shared" si="13"/>
        <v>25</v>
      </c>
    </row>
    <row r="887" customHeight="1" spans="1:13">
      <c r="A887" s="39">
        <v>886</v>
      </c>
      <c r="B887" s="39">
        <v>0</v>
      </c>
      <c r="C887" s="39">
        <v>3</v>
      </c>
      <c r="D887" s="40" t="s">
        <v>1214</v>
      </c>
      <c r="E887" s="40" t="s">
        <v>17</v>
      </c>
      <c r="F887" s="39">
        <v>39</v>
      </c>
      <c r="G887" s="39">
        <v>0</v>
      </c>
      <c r="H887" s="39">
        <v>5</v>
      </c>
      <c r="I887" s="40">
        <v>382652</v>
      </c>
      <c r="J887" s="41">
        <v>29.125</v>
      </c>
      <c r="L887" s="39" t="s">
        <v>27</v>
      </c>
      <c r="M887" s="38">
        <f t="shared" si="13"/>
        <v>39</v>
      </c>
    </row>
    <row r="888" customHeight="1" spans="1:13">
      <c r="A888" s="39">
        <v>887</v>
      </c>
      <c r="B888" s="39">
        <v>0</v>
      </c>
      <c r="C888" s="39">
        <v>2</v>
      </c>
      <c r="D888" s="40" t="s">
        <v>1215</v>
      </c>
      <c r="E888" s="40" t="s">
        <v>13</v>
      </c>
      <c r="F888" s="39">
        <v>27</v>
      </c>
      <c r="G888" s="39">
        <v>0</v>
      </c>
      <c r="H888" s="39">
        <v>0</v>
      </c>
      <c r="I888" s="40">
        <v>211536</v>
      </c>
      <c r="J888" s="41">
        <v>13</v>
      </c>
      <c r="L888" s="39" t="s">
        <v>15</v>
      </c>
      <c r="M888" s="38">
        <f t="shared" si="13"/>
        <v>27</v>
      </c>
    </row>
    <row r="889" customHeight="1" spans="1:13">
      <c r="A889" s="39">
        <v>888</v>
      </c>
      <c r="B889" s="39">
        <v>1</v>
      </c>
      <c r="C889" s="39">
        <v>1</v>
      </c>
      <c r="D889" s="40" t="s">
        <v>1216</v>
      </c>
      <c r="E889" s="40" t="s">
        <v>17</v>
      </c>
      <c r="F889" s="39">
        <v>19</v>
      </c>
      <c r="G889" s="39">
        <v>0</v>
      </c>
      <c r="H889" s="39">
        <v>0</v>
      </c>
      <c r="I889" s="40">
        <v>112053</v>
      </c>
      <c r="J889" s="41">
        <v>30</v>
      </c>
      <c r="K889" s="42" t="s">
        <v>1217</v>
      </c>
      <c r="L889" s="39" t="s">
        <v>15</v>
      </c>
      <c r="M889" s="38">
        <f t="shared" si="13"/>
        <v>19</v>
      </c>
    </row>
    <row r="890" customHeight="1" spans="1:13">
      <c r="A890" s="39">
        <v>889</v>
      </c>
      <c r="B890" s="39">
        <v>0</v>
      </c>
      <c r="C890" s="39">
        <v>3</v>
      </c>
      <c r="D890" s="40" t="s">
        <v>1218</v>
      </c>
      <c r="E890" s="40" t="s">
        <v>17</v>
      </c>
      <c r="G890" s="39">
        <v>1</v>
      </c>
      <c r="H890" s="39">
        <v>2</v>
      </c>
      <c r="I890" s="40" t="s">
        <v>1088</v>
      </c>
      <c r="J890" s="41">
        <v>23.45</v>
      </c>
      <c r="L890" s="39" t="s">
        <v>15</v>
      </c>
      <c r="M890" s="38">
        <f t="shared" si="13"/>
        <v>29.6991176470588</v>
      </c>
    </row>
    <row r="891" customHeight="1" spans="1:13">
      <c r="A891" s="39">
        <v>890</v>
      </c>
      <c r="B891" s="39">
        <v>1</v>
      </c>
      <c r="C891" s="39">
        <v>1</v>
      </c>
      <c r="D891" s="40" t="s">
        <v>1219</v>
      </c>
      <c r="E891" s="40" t="s">
        <v>13</v>
      </c>
      <c r="F891" s="39">
        <v>26</v>
      </c>
      <c r="G891" s="39">
        <v>0</v>
      </c>
      <c r="H891" s="39">
        <v>0</v>
      </c>
      <c r="I891" s="40">
        <v>111369</v>
      </c>
      <c r="J891" s="41">
        <v>30</v>
      </c>
      <c r="K891" s="42" t="s">
        <v>1220</v>
      </c>
      <c r="L891" s="39" t="s">
        <v>20</v>
      </c>
      <c r="M891" s="38">
        <f t="shared" si="13"/>
        <v>26</v>
      </c>
    </row>
    <row r="892" customHeight="1" spans="1:13">
      <c r="A892" s="39">
        <v>891</v>
      </c>
      <c r="B892" s="39">
        <v>0</v>
      </c>
      <c r="C892" s="39">
        <v>3</v>
      </c>
      <c r="D892" s="40" t="s">
        <v>1221</v>
      </c>
      <c r="E892" s="40" t="s">
        <v>13</v>
      </c>
      <c r="F892" s="39">
        <v>32</v>
      </c>
      <c r="G892" s="39">
        <v>0</v>
      </c>
      <c r="H892" s="39">
        <v>0</v>
      </c>
      <c r="I892" s="40">
        <v>370376</v>
      </c>
      <c r="J892" s="41">
        <v>7.75</v>
      </c>
      <c r="L892" s="39" t="s">
        <v>27</v>
      </c>
      <c r="M892" s="38">
        <f t="shared" si="13"/>
        <v>32</v>
      </c>
    </row>
  </sheetData>
  <conditionalFormatting sqref="J$1:J$1048576">
    <cfRule type="top10" dxfId="102" priority="6" rank="10"/>
    <cfRule type="top10" dxfId="103" priority="5" bottom="1" rank="10"/>
    <cfRule type="top10" priority="4" rank="50"/>
    <cfRule type="top10" dxfId="103" priority="3" rank="50"/>
    <cfRule type="top10" dxfId="102" priority="2" bottom="1" rank="50"/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{e9d98946-bc50-46d0-ba43-5f3e3da12be1}</x14:id>
        </ext>
      </extLst>
    </cfRule>
  </conditionalFormatting>
  <pageMargins left="0.75" right="0.75" top="1" bottom="1" header="0.5" footer="0.5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9d98946-bc50-46d0-ba43-5f3e3da12b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J$1:J$1048576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0"/>
  <sheetViews>
    <sheetView zoomScale="166" zoomScaleNormal="166" workbookViewId="0">
      <selection activeCell="D10" sqref="D10"/>
    </sheetView>
  </sheetViews>
  <sheetFormatPr defaultColWidth="9.14285714285714" defaultRowHeight="12.75"/>
  <cols>
    <col min="1" max="1" width="39.7142857142857" customWidth="1"/>
    <col min="2" max="2" width="9.52380952380952" style="16" customWidth="1"/>
    <col min="3" max="3" width="39.1428571428571" customWidth="1"/>
    <col min="5" max="5" width="53.2857142857143" customWidth="1"/>
    <col min="10" max="10" width="10.8380952380952" customWidth="1"/>
    <col min="13" max="13" width="18.8571428571429" customWidth="1"/>
    <col min="14" max="14" width="12.8571428571429"/>
  </cols>
  <sheetData>
    <row r="1" ht="50.25" spans="1:10">
      <c r="A1" s="17" t="s">
        <v>1225</v>
      </c>
      <c r="C1" s="18" t="s">
        <v>1226</v>
      </c>
      <c r="E1" s="17" t="s">
        <v>1227</v>
      </c>
    </row>
    <row r="3" ht="18.75" spans="1:10">
      <c r="A3" s="19" t="s">
        <v>1228</v>
      </c>
      <c r="C3" s="19" t="s">
        <v>1229</v>
      </c>
      <c r="E3" s="19" t="s">
        <v>1230</v>
      </c>
      <c r="I3" s="20"/>
      <c r="J3" s="20"/>
    </row>
    <row r="4" ht="25.5" spans="1:10">
      <c r="A4" s="21">
        <f>COUNT(Titanic.csv!A:A)</f>
        <v>891</v>
      </c>
      <c r="C4" s="22" t="str">
        <f>IF(Titanic.csv!B2,"Survived","Not survived")</f>
        <v>Not survived</v>
      </c>
      <c r="E4" s="23">
        <v>345</v>
      </c>
      <c r="I4" s="24" t="s">
        <v>2</v>
      </c>
      <c r="J4" s="24" t="s">
        <v>1231</v>
      </c>
    </row>
    <row r="5" ht="15.75" spans="1:10">
      <c r="C5" s="25" t="str">
        <f>IF(Titanic.csv!B3,"Survived","Not survived")</f>
        <v>Survived</v>
      </c>
      <c r="E5" s="26" t="str">
        <f>_xlfn.XLOOKUP(E4,Titanic.csv!A:A,Titanic.csv!D:D,"NOT FOUND")</f>
        <v>Fox, Mr. Stanley Hubert</v>
      </c>
      <c r="I5" s="24">
        <v>1</v>
      </c>
      <c r="J5" s="24" t="s">
        <v>1232</v>
      </c>
    </row>
    <row r="6" ht="18.75" spans="1:10">
      <c r="A6" s="19" t="s">
        <v>1233</v>
      </c>
      <c r="I6" s="24">
        <v>2</v>
      </c>
      <c r="J6" s="24" t="s">
        <v>1234</v>
      </c>
    </row>
    <row r="7" ht="18.75" spans="1:10">
      <c r="A7" s="27">
        <f>C15/A4</f>
        <v>0.647586980920314</v>
      </c>
      <c r="C7" s="19" t="s">
        <v>1235</v>
      </c>
      <c r="E7" s="19" t="s">
        <v>1236</v>
      </c>
      <c r="I7" s="24">
        <v>3</v>
      </c>
      <c r="J7" s="24" t="s">
        <v>1237</v>
      </c>
    </row>
    <row r="8" ht="15.75" spans="1:10">
      <c r="C8" s="28" t="str">
        <f>IF(OR(Titanic.csv!F2="",Titanic.csv!K2=""),"Missing Information","Complete")</f>
        <v>Missing Information</v>
      </c>
      <c r="E8" s="27" t="str">
        <f>VLOOKUP(Titanic.csv!C2,$I$5:$J$7,2,FALSE)</f>
        <v>3rd Class</v>
      </c>
    </row>
    <row r="9" ht="18.75" spans="1:10">
      <c r="A9" s="19" t="s">
        <v>1238</v>
      </c>
      <c r="C9" s="28" t="str">
        <f>IF(OR(Titanic.csv!F3="",Titanic.csv!K3=""),"Missing Information","Complete")</f>
        <v>Complete</v>
      </c>
      <c r="E9" s="27" t="str">
        <f>VLOOKUP(Titanic.csv!C3,$I$5:$J$7,2,FALSE)</f>
        <v>1st Class</v>
      </c>
    </row>
    <row r="10" ht="15.75" spans="1:10">
      <c r="A10" s="27">
        <f>C18/A4</f>
        <v>0.352413019079686</v>
      </c>
      <c r="I10" s="29">
        <v>0</v>
      </c>
      <c r="J10" s="29">
        <v>1</v>
      </c>
    </row>
    <row r="11" ht="25.5" spans="1:10">
      <c r="C11" s="19" t="s">
        <v>1239</v>
      </c>
      <c r="E11" s="19" t="s">
        <v>1240</v>
      </c>
      <c r="I11" s="29" t="s">
        <v>1241</v>
      </c>
      <c r="J11" s="29" t="s">
        <v>1</v>
      </c>
    </row>
    <row r="12" ht="18.75" spans="1:10">
      <c r="A12" s="19" t="s">
        <v>1242</v>
      </c>
      <c r="C12" s="28" t="str" cm="1">
        <f t="array" ref="C12">_xlfn.IFS(Titanic.csv!C2=1,"1st class",Titanic.csv!C2=2,"2nd class",Titanic.csv!C2=3,"3rd class")</f>
        <v>3rd class</v>
      </c>
      <c r="E12" s="30" t="str">
        <f>HLOOKUP(Titanic.csv!B2,$I$10:$J$11,2,FALSE)</f>
        <v>Not Survived</v>
      </c>
    </row>
    <row r="13" ht="15.75" spans="1:10">
      <c r="A13" s="27">
        <f>AVERAGE(Titanic.csv!B:B)</f>
        <v>0.383838383838384</v>
      </c>
      <c r="E13" s="27" t="str">
        <f>HLOOKUP(Titanic.csv!B3,$I$10:$J$11,2,FALSE)</f>
        <v>Survived</v>
      </c>
    </row>
    <row r="14" ht="18.75" spans="1:10">
      <c r="C14" s="19" t="s">
        <v>1243</v>
      </c>
      <c r="E14" s="16"/>
    </row>
    <row r="15" ht="18.75" spans="1:10">
      <c r="A15" s="19" t="s">
        <v>1244</v>
      </c>
      <c r="C15" s="28">
        <f>COUNTIF(Titanic.csv!E:E,"MALE")</f>
        <v>577</v>
      </c>
      <c r="E15" s="19" t="s">
        <v>1245</v>
      </c>
    </row>
    <row r="16" ht="15.75" spans="1:10">
      <c r="A16" s="31">
        <f>SUM(Titanic.csv!J:J)</f>
        <v>28693.9493</v>
      </c>
      <c r="E16" s="27" t="s">
        <v>1201</v>
      </c>
    </row>
    <row r="17" ht="18.75" spans="1:5">
      <c r="C17" s="19" t="s">
        <v>1246</v>
      </c>
      <c r="E17" s="26" cm="1">
        <f t="array" ref="E17">INDEX(Titanic.csv!A:A,MATCH(E16,Titanic.csv!D:D,0))</f>
        <v>876</v>
      </c>
    </row>
    <row r="18" ht="18.75" spans="1:5">
      <c r="A18" s="19" t="s">
        <v>1247</v>
      </c>
      <c r="C18" s="28">
        <f>COUNTIF(Titanic.csv!E:E,"FEMALE")</f>
        <v>314</v>
      </c>
    </row>
    <row r="19" ht="15.75" spans="1:5">
      <c r="A19" s="31">
        <f>AVERAGE(Titanic.csv!J:J)</f>
        <v>32.2042079685746</v>
      </c>
    </row>
    <row r="20" ht="18.75" spans="1:5">
      <c r="C20" s="19" t="s">
        <v>1248</v>
      </c>
    </row>
    <row r="21" ht="18.75" spans="1:5">
      <c r="A21" s="19" t="s">
        <v>1249</v>
      </c>
      <c r="C21" s="28">
        <f>COUNTIF(Titanic.csv!B:B,1)</f>
        <v>342</v>
      </c>
    </row>
    <row r="22" ht="15.75" spans="1:5">
      <c r="A22" s="31">
        <f>MAX(Titanic.csv!J:J)</f>
        <v>512.3292</v>
      </c>
    </row>
    <row r="24" ht="18.75" spans="1:5">
      <c r="A24" s="19" t="s">
        <v>1250</v>
      </c>
    </row>
    <row r="25" ht="15.75" spans="1:5">
      <c r="A25" s="25">
        <f>AVERAGE(Titanic.csv!F:F)</f>
        <v>29.6991176470588</v>
      </c>
      <c r="E25" s="16"/>
    </row>
    <row r="28" spans="1:5">
      <c r="E28" s="16"/>
    </row>
    <row r="31" spans="1:5">
      <c r="E31" s="16"/>
    </row>
    <row r="34" spans="5:5">
      <c r="E34" s="16"/>
    </row>
    <row r="170" spans="2:3">
      <c r="B170" s="32" t="s">
        <v>1251</v>
      </c>
      <c r="C170" s="32"/>
    </row>
    <row r="171" spans="2:3">
      <c r="B171" s="33" t="s">
        <v>1252</v>
      </c>
      <c r="C171" s="33">
        <f>COUNTA(Titanic.csv!A2:A892)</f>
        <v>891</v>
      </c>
    </row>
    <row r="172" spans="2:3">
      <c r="B172" s="33" t="s">
        <v>1253</v>
      </c>
      <c r="C172" s="33">
        <f>COUNTIF(Titanic.csv!B2:B892,1)</f>
        <v>342</v>
      </c>
    </row>
    <row r="173" spans="2:3">
      <c r="B173" s="33" t="s">
        <v>1254</v>
      </c>
      <c r="C173" s="34">
        <f>C172/C171</f>
        <v>0.383838383838384</v>
      </c>
    </row>
    <row r="174" spans="2:3">
      <c r="B174" s="33"/>
      <c r="C174" s="33"/>
    </row>
    <row r="175" spans="2:3">
      <c r="B175" s="33" t="s">
        <v>1255</v>
      </c>
      <c r="C175" s="33">
        <f>AVERAGE(Titanic.csv!F2:F892)</f>
        <v>29.6991176470588</v>
      </c>
    </row>
    <row r="176" spans="2:3">
      <c r="B176" s="33"/>
      <c r="C176" s="33"/>
    </row>
    <row r="177" spans="2:3">
      <c r="B177" s="33" t="s">
        <v>1256</v>
      </c>
      <c r="C177" s="33">
        <f>COUNTIF(Titanic.csv!E2:E892,"male")</f>
        <v>577</v>
      </c>
    </row>
    <row r="178" spans="2:3">
      <c r="B178" s="33" t="s">
        <v>1257</v>
      </c>
      <c r="C178" s="33">
        <f>COUNTIF(Titanic.csv!E2:E892,"female")</f>
        <v>314</v>
      </c>
    </row>
    <row r="179" spans="2:3">
      <c r="B179" s="33" t="s">
        <v>1258</v>
      </c>
      <c r="C179" s="34">
        <f>C177/C171</f>
        <v>0.647586980920314</v>
      </c>
    </row>
    <row r="180" spans="2:3">
      <c r="B180" s="33" t="s">
        <v>1259</v>
      </c>
      <c r="C180" s="34">
        <f>C178/C171</f>
        <v>0.352413019079686</v>
      </c>
    </row>
  </sheetData>
  <mergeCells count="1">
    <mergeCell ref="B170:C170"/>
  </mergeCells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215"/>
  <sheetViews>
    <sheetView tabSelected="1" zoomScale="79" zoomScaleNormal="79" workbookViewId="0">
      <selection activeCell="P22" sqref="P22"/>
    </sheetView>
  </sheetViews>
  <sheetFormatPr defaultColWidth="9.14285714285714" defaultRowHeight="12.75" outlineLevelCol="4"/>
  <cols>
    <col min="1" max="1" width="22.1428571428571"/>
    <col min="2" max="3" width="10.2857142857143"/>
    <col min="4" max="5" width="11.2857142857143"/>
  </cols>
  <sheetData>
    <row r="2" ht="18.75" spans="1:4">
      <c r="A2" s="14" t="s">
        <v>1260</v>
      </c>
      <c r="B2" s="14"/>
      <c r="C2" s="14"/>
      <c r="D2" s="14"/>
    </row>
    <row r="3" spans="1:4">
      <c r="A3" t="s">
        <v>1261</v>
      </c>
      <c r="B3" t="s">
        <v>1</v>
      </c>
    </row>
    <row r="4" spans="1:4">
      <c r="A4" t="s">
        <v>4</v>
      </c>
      <c r="B4">
        <v>0</v>
      </c>
      <c r="C4">
        <v>1</v>
      </c>
      <c r="D4" t="s">
        <v>1262</v>
      </c>
    </row>
    <row r="5" spans="1:4">
      <c r="A5" t="s">
        <v>17</v>
      </c>
      <c r="B5">
        <v>81</v>
      </c>
      <c r="C5">
        <v>233</v>
      </c>
      <c r="D5">
        <v>314</v>
      </c>
    </row>
    <row r="6" spans="1:4">
      <c r="A6" t="s">
        <v>13</v>
      </c>
      <c r="B6">
        <v>468</v>
      </c>
      <c r="C6">
        <v>109</v>
      </c>
      <c r="D6">
        <v>577</v>
      </c>
    </row>
    <row r="7" spans="1:4">
      <c r="A7" t="s">
        <v>1262</v>
      </c>
      <c r="B7">
        <v>549</v>
      </c>
      <c r="C7">
        <v>342</v>
      </c>
      <c r="D7">
        <v>891</v>
      </c>
    </row>
    <row r="22" ht="18.75" spans="1:4">
      <c r="A22" s="14" t="s">
        <v>1263</v>
      </c>
      <c r="B22" s="14"/>
      <c r="C22" s="14"/>
      <c r="D22" s="14"/>
    </row>
    <row r="23" spans="1:4">
      <c r="A23" t="s">
        <v>1261</v>
      </c>
      <c r="B23" t="s">
        <v>1</v>
      </c>
    </row>
    <row r="24" spans="1:4">
      <c r="A24" t="s">
        <v>2</v>
      </c>
      <c r="B24">
        <v>0</v>
      </c>
      <c r="C24">
        <v>1</v>
      </c>
      <c r="D24" t="s">
        <v>1262</v>
      </c>
    </row>
    <row r="25" spans="1:4">
      <c r="A25">
        <v>1</v>
      </c>
      <c r="B25">
        <v>80</v>
      </c>
      <c r="C25">
        <v>136</v>
      </c>
      <c r="D25">
        <v>216</v>
      </c>
    </row>
    <row r="26" spans="1:4">
      <c r="A26">
        <v>2</v>
      </c>
      <c r="B26">
        <v>97</v>
      </c>
      <c r="C26">
        <v>87</v>
      </c>
      <c r="D26">
        <v>184</v>
      </c>
    </row>
    <row r="27" spans="1:4">
      <c r="A27">
        <v>3</v>
      </c>
      <c r="B27">
        <v>372</v>
      </c>
      <c r="C27">
        <v>119</v>
      </c>
      <c r="D27">
        <v>491</v>
      </c>
    </row>
    <row r="28" spans="1:4">
      <c r="A28" t="s">
        <v>1262</v>
      </c>
      <c r="B28">
        <v>549</v>
      </c>
      <c r="C28">
        <v>342</v>
      </c>
      <c r="D28">
        <v>891</v>
      </c>
    </row>
    <row r="42" ht="18.75" spans="1:4">
      <c r="A42" s="14" t="s">
        <v>1264</v>
      </c>
      <c r="B42" s="14"/>
      <c r="C42" s="14"/>
      <c r="D42" s="14"/>
    </row>
    <row r="43" spans="1:4">
      <c r="A43" t="s">
        <v>1261</v>
      </c>
      <c r="B43" t="s">
        <v>1</v>
      </c>
    </row>
    <row r="44" spans="1:4">
      <c r="A44" t="s">
        <v>11</v>
      </c>
      <c r="B44">
        <v>0</v>
      </c>
      <c r="C44">
        <v>1</v>
      </c>
      <c r="D44" t="s">
        <v>1262</v>
      </c>
    </row>
    <row r="45" spans="1:4">
      <c r="A45" t="s">
        <v>20</v>
      </c>
      <c r="B45">
        <v>75</v>
      </c>
      <c r="C45">
        <v>93</v>
      </c>
      <c r="D45">
        <v>168</v>
      </c>
    </row>
    <row r="46" spans="1:4">
      <c r="A46" t="s">
        <v>27</v>
      </c>
      <c r="B46">
        <v>47</v>
      </c>
      <c r="C46">
        <v>30</v>
      </c>
      <c r="D46">
        <v>77</v>
      </c>
    </row>
    <row r="47" spans="1:4">
      <c r="A47" t="s">
        <v>15</v>
      </c>
      <c r="B47">
        <v>427</v>
      </c>
      <c r="C47">
        <v>217</v>
      </c>
      <c r="D47">
        <v>644</v>
      </c>
    </row>
    <row r="48" spans="1:4">
      <c r="A48" t="s">
        <v>1265</v>
      </c>
      <c r="C48">
        <v>2</v>
      </c>
      <c r="D48">
        <v>2</v>
      </c>
    </row>
    <row r="49" spans="1:4">
      <c r="A49" t="s">
        <v>1262</v>
      </c>
      <c r="B49">
        <v>549</v>
      </c>
      <c r="C49">
        <v>342</v>
      </c>
      <c r="D49">
        <v>891</v>
      </c>
    </row>
    <row r="61" ht="18.75" spans="1:4">
      <c r="A61" s="14" t="s">
        <v>1266</v>
      </c>
      <c r="B61" s="14"/>
      <c r="C61" s="14"/>
      <c r="D61" s="14"/>
    </row>
    <row r="62" spans="1:4">
      <c r="A62" t="s">
        <v>1261</v>
      </c>
      <c r="B62" t="s">
        <v>4</v>
      </c>
    </row>
    <row r="63" spans="1:4">
      <c r="A63" t="s">
        <v>2</v>
      </c>
      <c r="B63" t="s">
        <v>17</v>
      </c>
      <c r="C63" t="s">
        <v>13</v>
      </c>
      <c r="D63" t="s">
        <v>1262</v>
      </c>
    </row>
    <row r="64" spans="1:4">
      <c r="A64">
        <v>1</v>
      </c>
      <c r="B64">
        <v>94</v>
      </c>
      <c r="C64">
        <v>122</v>
      </c>
      <c r="D64">
        <v>216</v>
      </c>
    </row>
    <row r="65" spans="1:5">
      <c r="A65">
        <v>2</v>
      </c>
      <c r="B65">
        <v>76</v>
      </c>
      <c r="C65">
        <v>108</v>
      </c>
      <c r="D65">
        <v>184</v>
      </c>
    </row>
    <row r="66" spans="1:5">
      <c r="A66">
        <v>3</v>
      </c>
      <c r="B66">
        <v>144</v>
      </c>
      <c r="C66">
        <v>347</v>
      </c>
      <c r="D66">
        <v>491</v>
      </c>
    </row>
    <row r="67" spans="1:5">
      <c r="A67" t="s">
        <v>1262</v>
      </c>
      <c r="B67">
        <v>314</v>
      </c>
      <c r="C67">
        <v>577</v>
      </c>
      <c r="D67">
        <v>891</v>
      </c>
    </row>
    <row r="79" ht="18.75" spans="1:5">
      <c r="A79" s="14" t="s">
        <v>1267</v>
      </c>
      <c r="B79" s="14"/>
      <c r="C79" s="14"/>
      <c r="D79" s="14"/>
      <c r="E79" s="14"/>
    </row>
    <row r="80" spans="1:5">
      <c r="A80" t="s">
        <v>1261</v>
      </c>
      <c r="C80" t="s">
        <v>1</v>
      </c>
    </row>
    <row r="81" spans="1:5">
      <c r="A81" t="s">
        <v>2</v>
      </c>
      <c r="B81" t="s">
        <v>4</v>
      </c>
      <c r="C81">
        <v>0</v>
      </c>
      <c r="D81">
        <v>1</v>
      </c>
      <c r="E81" t="s">
        <v>1262</v>
      </c>
    </row>
    <row r="82" spans="1:5">
      <c r="A82">
        <v>1</v>
      </c>
      <c r="C82">
        <v>80</v>
      </c>
      <c r="D82">
        <v>136</v>
      </c>
      <c r="E82">
        <v>216</v>
      </c>
    </row>
    <row r="83" spans="1:5">
      <c r="B83" t="s">
        <v>17</v>
      </c>
      <c r="C83">
        <v>3</v>
      </c>
      <c r="D83">
        <v>91</v>
      </c>
      <c r="E83">
        <v>94</v>
      </c>
    </row>
    <row r="84" spans="1:5">
      <c r="B84" t="s">
        <v>13</v>
      </c>
      <c r="C84">
        <v>77</v>
      </c>
      <c r="D84">
        <v>45</v>
      </c>
      <c r="E84">
        <v>122</v>
      </c>
    </row>
    <row r="85" spans="1:5">
      <c r="A85">
        <v>2</v>
      </c>
      <c r="C85">
        <v>97</v>
      </c>
      <c r="D85">
        <v>87</v>
      </c>
      <c r="E85">
        <v>184</v>
      </c>
    </row>
    <row r="86" spans="1:5">
      <c r="B86" t="s">
        <v>17</v>
      </c>
      <c r="C86">
        <v>6</v>
      </c>
      <c r="D86">
        <v>70</v>
      </c>
      <c r="E86">
        <v>76</v>
      </c>
    </row>
    <row r="87" spans="1:5">
      <c r="B87" t="s">
        <v>13</v>
      </c>
      <c r="C87">
        <v>91</v>
      </c>
      <c r="D87">
        <v>17</v>
      </c>
      <c r="E87">
        <v>108</v>
      </c>
    </row>
    <row r="88" spans="1:5">
      <c r="A88">
        <v>3</v>
      </c>
      <c r="C88">
        <v>372</v>
      </c>
      <c r="D88">
        <v>119</v>
      </c>
      <c r="E88">
        <v>491</v>
      </c>
    </row>
    <row r="89" spans="1:5">
      <c r="B89" t="s">
        <v>17</v>
      </c>
      <c r="C89">
        <v>72</v>
      </c>
      <c r="D89">
        <v>72</v>
      </c>
      <c r="E89">
        <v>144</v>
      </c>
    </row>
    <row r="90" spans="1:5">
      <c r="B90" t="s">
        <v>13</v>
      </c>
      <c r="C90">
        <v>300</v>
      </c>
      <c r="D90">
        <v>47</v>
      </c>
      <c r="E90">
        <v>347</v>
      </c>
    </row>
    <row r="91" spans="1:5">
      <c r="A91" t="s">
        <v>1262</v>
      </c>
      <c r="C91">
        <v>549</v>
      </c>
      <c r="D91">
        <v>342</v>
      </c>
      <c r="E91">
        <v>891</v>
      </c>
    </row>
    <row r="95" ht="18.75" spans="1:5">
      <c r="A95" s="14" t="s">
        <v>1268</v>
      </c>
      <c r="B95" s="14"/>
      <c r="C95" s="14"/>
      <c r="D95" s="14"/>
    </row>
    <row r="96" spans="1:5">
      <c r="A96" t="s">
        <v>1261</v>
      </c>
      <c r="B96" t="s">
        <v>1</v>
      </c>
    </row>
    <row r="97" spans="1:4">
      <c r="A97" t="s">
        <v>6</v>
      </c>
      <c r="B97">
        <v>0</v>
      </c>
      <c r="C97">
        <v>1</v>
      </c>
      <c r="D97" t="s">
        <v>1262</v>
      </c>
    </row>
    <row r="98" spans="1:4">
      <c r="A98">
        <v>2</v>
      </c>
      <c r="B98">
        <v>15</v>
      </c>
      <c r="C98">
        <v>13</v>
      </c>
      <c r="D98">
        <v>28</v>
      </c>
    </row>
    <row r="99" spans="1:4">
      <c r="A99" t="s">
        <v>1262</v>
      </c>
      <c r="B99">
        <v>15</v>
      </c>
      <c r="C99">
        <v>13</v>
      </c>
      <c r="D99">
        <v>28</v>
      </c>
    </row>
    <row r="110" ht="18.75" spans="1:4">
      <c r="A110" s="14" t="s">
        <v>1269</v>
      </c>
      <c r="B110" s="14"/>
      <c r="C110" s="14"/>
      <c r="D110" s="14"/>
    </row>
    <row r="111" spans="1:4">
      <c r="A111" t="s">
        <v>1261</v>
      </c>
      <c r="B111" t="s">
        <v>4</v>
      </c>
    </row>
    <row r="112" spans="1:4">
      <c r="A112" t="s">
        <v>11</v>
      </c>
      <c r="B112" t="s">
        <v>17</v>
      </c>
      <c r="C112" t="s">
        <v>13</v>
      </c>
      <c r="D112" t="s">
        <v>1262</v>
      </c>
    </row>
    <row r="113" spans="1:4">
      <c r="A113" t="s">
        <v>20</v>
      </c>
      <c r="B113">
        <v>73</v>
      </c>
      <c r="C113">
        <v>95</v>
      </c>
      <c r="D113">
        <v>168</v>
      </c>
    </row>
    <row r="114" spans="1:4">
      <c r="A114" t="s">
        <v>27</v>
      </c>
      <c r="B114">
        <v>36</v>
      </c>
      <c r="C114">
        <v>41</v>
      </c>
      <c r="D114">
        <v>77</v>
      </c>
    </row>
    <row r="115" spans="1:4">
      <c r="A115" t="s">
        <v>15</v>
      </c>
      <c r="B115">
        <v>203</v>
      </c>
      <c r="C115">
        <v>441</v>
      </c>
      <c r="D115">
        <v>644</v>
      </c>
    </row>
    <row r="116" spans="1:4">
      <c r="A116" t="s">
        <v>1265</v>
      </c>
      <c r="B116">
        <v>2</v>
      </c>
      <c r="D116">
        <v>2</v>
      </c>
    </row>
    <row r="117" spans="1:4">
      <c r="A117" t="s">
        <v>1262</v>
      </c>
      <c r="B117">
        <v>314</v>
      </c>
      <c r="C117">
        <v>577</v>
      </c>
      <c r="D117">
        <v>891</v>
      </c>
    </row>
    <row r="123" ht="18.75" spans="1:4">
      <c r="A123" s="14" t="s">
        <v>1266</v>
      </c>
      <c r="B123" s="14"/>
      <c r="C123" s="14"/>
      <c r="D123" s="14"/>
    </row>
    <row r="124" spans="1:4">
      <c r="A124" t="s">
        <v>1261</v>
      </c>
      <c r="B124" t="s">
        <v>1</v>
      </c>
    </row>
    <row r="125" spans="1:4">
      <c r="A125" t="s">
        <v>5</v>
      </c>
      <c r="B125">
        <v>0</v>
      </c>
      <c r="C125">
        <v>1</v>
      </c>
      <c r="D125" t="s">
        <v>1262</v>
      </c>
    </row>
    <row r="126" spans="1:4">
      <c r="A126" s="15">
        <v>0.42</v>
      </c>
      <c r="C126">
        <v>1</v>
      </c>
      <c r="D126">
        <v>1</v>
      </c>
    </row>
    <row r="127" spans="1:4">
      <c r="A127" s="15">
        <v>0.67</v>
      </c>
      <c r="C127">
        <v>1</v>
      </c>
      <c r="D127">
        <v>1</v>
      </c>
    </row>
    <row r="128" spans="1:4">
      <c r="A128" s="15">
        <v>0.75</v>
      </c>
      <c r="C128">
        <v>2</v>
      </c>
      <c r="D128">
        <v>2</v>
      </c>
    </row>
    <row r="129" spans="1:4">
      <c r="A129" s="15">
        <v>0.83</v>
      </c>
      <c r="C129">
        <v>2</v>
      </c>
      <c r="D129">
        <v>2</v>
      </c>
    </row>
    <row r="130" spans="1:4">
      <c r="A130" s="15">
        <v>0.92</v>
      </c>
      <c r="C130">
        <v>1</v>
      </c>
      <c r="D130">
        <v>1</v>
      </c>
    </row>
    <row r="131" spans="1:4">
      <c r="A131" s="15">
        <v>1</v>
      </c>
      <c r="B131">
        <v>2</v>
      </c>
      <c r="C131">
        <v>5</v>
      </c>
      <c r="D131">
        <v>7</v>
      </c>
    </row>
    <row r="132" spans="1:4">
      <c r="A132" s="15">
        <v>2</v>
      </c>
      <c r="B132">
        <v>7</v>
      </c>
      <c r="C132">
        <v>3</v>
      </c>
      <c r="D132">
        <v>10</v>
      </c>
    </row>
    <row r="133" spans="1:4">
      <c r="A133" s="15">
        <v>3</v>
      </c>
      <c r="B133">
        <v>1</v>
      </c>
      <c r="C133">
        <v>5</v>
      </c>
      <c r="D133">
        <v>6</v>
      </c>
    </row>
    <row r="134" spans="1:4">
      <c r="A134" s="15">
        <v>4</v>
      </c>
      <c r="B134">
        <v>3</v>
      </c>
      <c r="C134">
        <v>7</v>
      </c>
      <c r="D134">
        <v>10</v>
      </c>
    </row>
    <row r="135" spans="1:4">
      <c r="A135" s="15">
        <v>5</v>
      </c>
      <c r="C135">
        <v>4</v>
      </c>
      <c r="D135">
        <v>4</v>
      </c>
    </row>
    <row r="136" spans="1:4">
      <c r="A136" s="15">
        <v>6</v>
      </c>
      <c r="B136">
        <v>1</v>
      </c>
      <c r="C136">
        <v>2</v>
      </c>
      <c r="D136">
        <v>3</v>
      </c>
    </row>
    <row r="137" spans="1:4">
      <c r="A137" s="15">
        <v>7</v>
      </c>
      <c r="B137">
        <v>2</v>
      </c>
      <c r="C137">
        <v>1</v>
      </c>
      <c r="D137">
        <v>3</v>
      </c>
    </row>
    <row r="138" spans="1:4">
      <c r="A138" s="15">
        <v>8</v>
      </c>
      <c r="B138">
        <v>2</v>
      </c>
      <c r="C138">
        <v>2</v>
      </c>
      <c r="D138">
        <v>4</v>
      </c>
    </row>
    <row r="139" spans="1:4">
      <c r="A139" s="15">
        <v>9</v>
      </c>
      <c r="B139">
        <v>6</v>
      </c>
      <c r="C139">
        <v>2</v>
      </c>
      <c r="D139">
        <v>8</v>
      </c>
    </row>
    <row r="140" spans="1:4">
      <c r="A140" s="15">
        <v>10</v>
      </c>
      <c r="B140">
        <v>2</v>
      </c>
      <c r="D140">
        <v>2</v>
      </c>
    </row>
    <row r="141" spans="1:4">
      <c r="A141" s="15">
        <v>11</v>
      </c>
      <c r="B141">
        <v>3</v>
      </c>
      <c r="C141">
        <v>1</v>
      </c>
      <c r="D141">
        <v>4</v>
      </c>
    </row>
    <row r="142" spans="1:4">
      <c r="A142" s="15">
        <v>12</v>
      </c>
      <c r="C142">
        <v>1</v>
      </c>
      <c r="D142">
        <v>1</v>
      </c>
    </row>
    <row r="143" spans="1:4">
      <c r="A143" s="15">
        <v>13</v>
      </c>
      <c r="C143">
        <v>2</v>
      </c>
      <c r="D143">
        <v>2</v>
      </c>
    </row>
    <row r="144" spans="1:4">
      <c r="A144" s="15">
        <v>14</v>
      </c>
      <c r="B144">
        <v>3</v>
      </c>
      <c r="C144">
        <v>3</v>
      </c>
      <c r="D144">
        <v>6</v>
      </c>
    </row>
    <row r="145" spans="1:4">
      <c r="A145" s="15">
        <v>14.5</v>
      </c>
      <c r="B145">
        <v>1</v>
      </c>
      <c r="D145">
        <v>1</v>
      </c>
    </row>
    <row r="146" spans="1:4">
      <c r="A146" s="15">
        <v>15</v>
      </c>
      <c r="B146">
        <v>1</v>
      </c>
      <c r="C146">
        <v>4</v>
      </c>
      <c r="D146">
        <v>5</v>
      </c>
    </row>
    <row r="147" spans="1:4">
      <c r="A147" s="15">
        <v>16</v>
      </c>
      <c r="B147">
        <v>11</v>
      </c>
      <c r="C147">
        <v>6</v>
      </c>
      <c r="D147">
        <v>17</v>
      </c>
    </row>
    <row r="148" spans="1:4">
      <c r="A148" s="15">
        <v>17</v>
      </c>
      <c r="B148">
        <v>7</v>
      </c>
      <c r="C148">
        <v>6</v>
      </c>
      <c r="D148">
        <v>13</v>
      </c>
    </row>
    <row r="149" spans="1:4">
      <c r="A149" s="15">
        <v>18</v>
      </c>
      <c r="B149">
        <v>17</v>
      </c>
      <c r="C149">
        <v>9</v>
      </c>
      <c r="D149">
        <v>26</v>
      </c>
    </row>
    <row r="150" spans="1:4">
      <c r="A150" s="15">
        <v>19</v>
      </c>
      <c r="B150">
        <v>16</v>
      </c>
      <c r="C150">
        <v>9</v>
      </c>
      <c r="D150">
        <v>25</v>
      </c>
    </row>
    <row r="151" spans="1:4">
      <c r="A151" s="15">
        <v>20</v>
      </c>
      <c r="B151">
        <v>12</v>
      </c>
      <c r="C151">
        <v>3</v>
      </c>
      <c r="D151">
        <v>15</v>
      </c>
    </row>
    <row r="152" spans="1:4">
      <c r="A152" s="15">
        <v>20.5</v>
      </c>
      <c r="B152">
        <v>1</v>
      </c>
      <c r="D152">
        <v>1</v>
      </c>
    </row>
    <row r="153" spans="1:4">
      <c r="A153" s="15">
        <v>21</v>
      </c>
      <c r="B153">
        <v>19</v>
      </c>
      <c r="C153">
        <v>5</v>
      </c>
      <c r="D153">
        <v>24</v>
      </c>
    </row>
    <row r="154" spans="1:4">
      <c r="A154" s="15">
        <v>22</v>
      </c>
      <c r="B154">
        <v>16</v>
      </c>
      <c r="C154">
        <v>11</v>
      </c>
      <c r="D154">
        <v>27</v>
      </c>
    </row>
    <row r="155" spans="1:4">
      <c r="A155" s="15">
        <v>23</v>
      </c>
      <c r="B155">
        <v>10</v>
      </c>
      <c r="C155">
        <v>5</v>
      </c>
      <c r="D155">
        <v>15</v>
      </c>
    </row>
    <row r="156" spans="1:4">
      <c r="A156" s="15">
        <v>23.5</v>
      </c>
      <c r="B156">
        <v>1</v>
      </c>
      <c r="D156">
        <v>1</v>
      </c>
    </row>
    <row r="157" spans="1:4">
      <c r="A157" s="15">
        <v>24</v>
      </c>
      <c r="B157">
        <v>15</v>
      </c>
      <c r="C157">
        <v>15</v>
      </c>
      <c r="D157">
        <v>30</v>
      </c>
    </row>
    <row r="158" spans="1:4">
      <c r="A158" s="15">
        <v>24.5</v>
      </c>
      <c r="B158">
        <v>1</v>
      </c>
      <c r="D158">
        <v>1</v>
      </c>
    </row>
    <row r="159" spans="1:4">
      <c r="A159" s="15">
        <v>25</v>
      </c>
      <c r="B159">
        <v>17</v>
      </c>
      <c r="C159">
        <v>6</v>
      </c>
      <c r="D159">
        <v>23</v>
      </c>
    </row>
    <row r="160" spans="1:4">
      <c r="A160" s="15">
        <v>26</v>
      </c>
      <c r="B160">
        <v>12</v>
      </c>
      <c r="C160">
        <v>6</v>
      </c>
      <c r="D160">
        <v>18</v>
      </c>
    </row>
    <row r="161" spans="1:4">
      <c r="A161" s="15">
        <v>27</v>
      </c>
      <c r="B161">
        <v>7</v>
      </c>
      <c r="C161">
        <v>11</v>
      </c>
      <c r="D161">
        <v>18</v>
      </c>
    </row>
    <row r="162" spans="1:4">
      <c r="A162" s="15">
        <v>28</v>
      </c>
      <c r="B162">
        <v>18</v>
      </c>
      <c r="C162">
        <v>7</v>
      </c>
      <c r="D162">
        <v>25</v>
      </c>
    </row>
    <row r="163" spans="1:4">
      <c r="A163" s="15">
        <v>28.5</v>
      </c>
      <c r="B163">
        <v>2</v>
      </c>
      <c r="D163">
        <v>2</v>
      </c>
    </row>
    <row r="164" spans="1:4">
      <c r="A164" s="15">
        <v>29</v>
      </c>
      <c r="B164">
        <v>12</v>
      </c>
      <c r="C164">
        <v>8</v>
      </c>
      <c r="D164">
        <v>20</v>
      </c>
    </row>
    <row r="165" spans="1:4">
      <c r="A165" s="15">
        <v>30</v>
      </c>
      <c r="B165">
        <v>15</v>
      </c>
      <c r="C165">
        <v>10</v>
      </c>
      <c r="D165">
        <v>25</v>
      </c>
    </row>
    <row r="166" spans="1:4">
      <c r="A166" s="15">
        <v>30.5</v>
      </c>
      <c r="B166">
        <v>2</v>
      </c>
      <c r="D166">
        <v>2</v>
      </c>
    </row>
    <row r="167" spans="1:4">
      <c r="A167" s="15">
        <v>31</v>
      </c>
      <c r="B167">
        <v>9</v>
      </c>
      <c r="C167">
        <v>8</v>
      </c>
      <c r="D167">
        <v>17</v>
      </c>
    </row>
    <row r="168" spans="1:4">
      <c r="A168" s="15">
        <v>32</v>
      </c>
      <c r="B168">
        <v>9</v>
      </c>
      <c r="C168">
        <v>9</v>
      </c>
      <c r="D168">
        <v>18</v>
      </c>
    </row>
    <row r="169" spans="1:4">
      <c r="A169" s="15">
        <v>32.5</v>
      </c>
      <c r="B169">
        <v>1</v>
      </c>
      <c r="C169">
        <v>1</v>
      </c>
      <c r="D169">
        <v>2</v>
      </c>
    </row>
    <row r="170" spans="1:4">
      <c r="A170" s="15">
        <v>33</v>
      </c>
      <c r="B170">
        <v>9</v>
      </c>
      <c r="C170">
        <v>6</v>
      </c>
      <c r="D170">
        <v>15</v>
      </c>
    </row>
    <row r="171" spans="1:4">
      <c r="A171" s="15">
        <v>34</v>
      </c>
      <c r="B171">
        <v>9</v>
      </c>
      <c r="C171">
        <v>6</v>
      </c>
      <c r="D171">
        <v>15</v>
      </c>
    </row>
    <row r="172" spans="1:4">
      <c r="A172" s="15">
        <v>34.5</v>
      </c>
      <c r="B172">
        <v>1</v>
      </c>
      <c r="D172">
        <v>1</v>
      </c>
    </row>
    <row r="173" spans="1:4">
      <c r="A173" s="15">
        <v>35</v>
      </c>
      <c r="B173">
        <v>7</v>
      </c>
      <c r="C173">
        <v>11</v>
      </c>
      <c r="D173">
        <v>18</v>
      </c>
    </row>
    <row r="174" spans="1:4">
      <c r="A174" s="15">
        <v>36</v>
      </c>
      <c r="B174">
        <v>11</v>
      </c>
      <c r="C174">
        <v>11</v>
      </c>
      <c r="D174">
        <v>22</v>
      </c>
    </row>
    <row r="175" spans="1:4">
      <c r="A175" s="15">
        <v>36.5</v>
      </c>
      <c r="B175">
        <v>1</v>
      </c>
      <c r="D175">
        <v>1</v>
      </c>
    </row>
    <row r="176" spans="1:4">
      <c r="A176" s="15">
        <v>37</v>
      </c>
      <c r="B176">
        <v>5</v>
      </c>
      <c r="C176">
        <v>1</v>
      </c>
      <c r="D176">
        <v>6</v>
      </c>
    </row>
    <row r="177" spans="1:4">
      <c r="A177" s="15">
        <v>38</v>
      </c>
      <c r="B177">
        <v>6</v>
      </c>
      <c r="C177">
        <v>5</v>
      </c>
      <c r="D177">
        <v>11</v>
      </c>
    </row>
    <row r="178" spans="1:4">
      <c r="A178" s="15">
        <v>39</v>
      </c>
      <c r="B178">
        <v>9</v>
      </c>
      <c r="C178">
        <v>5</v>
      </c>
      <c r="D178">
        <v>14</v>
      </c>
    </row>
    <row r="179" spans="1:4">
      <c r="A179" s="15">
        <v>40</v>
      </c>
      <c r="B179">
        <v>7</v>
      </c>
      <c r="C179">
        <v>6</v>
      </c>
      <c r="D179">
        <v>13</v>
      </c>
    </row>
    <row r="180" spans="1:4">
      <c r="A180" s="15">
        <v>40.5</v>
      </c>
      <c r="B180">
        <v>2</v>
      </c>
      <c r="D180">
        <v>2</v>
      </c>
    </row>
    <row r="181" spans="1:4">
      <c r="A181" s="15">
        <v>41</v>
      </c>
      <c r="B181">
        <v>4</v>
      </c>
      <c r="C181">
        <v>2</v>
      </c>
      <c r="D181">
        <v>6</v>
      </c>
    </row>
    <row r="182" spans="1:4">
      <c r="A182" s="15">
        <v>42</v>
      </c>
      <c r="B182">
        <v>7</v>
      </c>
      <c r="C182">
        <v>6</v>
      </c>
      <c r="D182">
        <v>13</v>
      </c>
    </row>
    <row r="183" spans="1:4">
      <c r="A183" s="15">
        <v>43</v>
      </c>
      <c r="B183">
        <v>4</v>
      </c>
      <c r="C183">
        <v>1</v>
      </c>
      <c r="D183">
        <v>5</v>
      </c>
    </row>
    <row r="184" spans="1:4">
      <c r="A184" s="15">
        <v>44</v>
      </c>
      <c r="B184">
        <v>6</v>
      </c>
      <c r="C184">
        <v>3</v>
      </c>
      <c r="D184">
        <v>9</v>
      </c>
    </row>
    <row r="185" spans="1:4">
      <c r="A185" s="15">
        <v>45</v>
      </c>
      <c r="B185">
        <v>7</v>
      </c>
      <c r="C185">
        <v>5</v>
      </c>
      <c r="D185">
        <v>12</v>
      </c>
    </row>
    <row r="186" spans="1:4">
      <c r="A186" s="15">
        <v>45.5</v>
      </c>
      <c r="B186">
        <v>2</v>
      </c>
      <c r="D186">
        <v>2</v>
      </c>
    </row>
    <row r="187" spans="1:4">
      <c r="A187" s="15">
        <v>46</v>
      </c>
      <c r="B187">
        <v>3</v>
      </c>
      <c r="D187">
        <v>3</v>
      </c>
    </row>
    <row r="188" spans="1:4">
      <c r="A188" s="15">
        <v>47</v>
      </c>
      <c r="B188">
        <v>8</v>
      </c>
      <c r="C188">
        <v>1</v>
      </c>
      <c r="D188">
        <v>9</v>
      </c>
    </row>
    <row r="189" spans="1:4">
      <c r="A189" s="15">
        <v>48</v>
      </c>
      <c r="B189">
        <v>3</v>
      </c>
      <c r="C189">
        <v>6</v>
      </c>
      <c r="D189">
        <v>9</v>
      </c>
    </row>
    <row r="190" spans="1:4">
      <c r="A190" s="15">
        <v>49</v>
      </c>
      <c r="B190">
        <v>2</v>
      </c>
      <c r="C190">
        <v>4</v>
      </c>
      <c r="D190">
        <v>6</v>
      </c>
    </row>
    <row r="191" spans="1:4">
      <c r="A191" s="15">
        <v>50</v>
      </c>
      <c r="B191">
        <v>5</v>
      </c>
      <c r="C191">
        <v>5</v>
      </c>
      <c r="D191">
        <v>10</v>
      </c>
    </row>
    <row r="192" spans="1:4">
      <c r="A192" s="15">
        <v>51</v>
      </c>
      <c r="B192">
        <v>5</v>
      </c>
      <c r="C192">
        <v>2</v>
      </c>
      <c r="D192">
        <v>7</v>
      </c>
    </row>
    <row r="193" spans="1:4">
      <c r="A193" s="15">
        <v>52</v>
      </c>
      <c r="B193">
        <v>3</v>
      </c>
      <c r="C193">
        <v>3</v>
      </c>
      <c r="D193">
        <v>6</v>
      </c>
    </row>
    <row r="194" spans="1:4">
      <c r="A194" s="15">
        <v>53</v>
      </c>
      <c r="C194">
        <v>1</v>
      </c>
      <c r="D194">
        <v>1</v>
      </c>
    </row>
    <row r="195" spans="1:4">
      <c r="A195" s="15">
        <v>54</v>
      </c>
      <c r="B195">
        <v>5</v>
      </c>
      <c r="C195">
        <v>3</v>
      </c>
      <c r="D195">
        <v>8</v>
      </c>
    </row>
    <row r="196" spans="1:4">
      <c r="A196" s="15">
        <v>55</v>
      </c>
      <c r="B196">
        <v>1</v>
      </c>
      <c r="C196">
        <v>1</v>
      </c>
      <c r="D196">
        <v>2</v>
      </c>
    </row>
    <row r="197" spans="1:4">
      <c r="A197" s="15">
        <v>55.5</v>
      </c>
      <c r="B197">
        <v>1</v>
      </c>
      <c r="D197">
        <v>1</v>
      </c>
    </row>
    <row r="198" spans="1:4">
      <c r="A198" s="15">
        <v>56</v>
      </c>
      <c r="B198">
        <v>2</v>
      </c>
      <c r="C198">
        <v>2</v>
      </c>
      <c r="D198">
        <v>4</v>
      </c>
    </row>
    <row r="199" spans="1:4">
      <c r="A199" s="15">
        <v>57</v>
      </c>
      <c r="B199">
        <v>2</v>
      </c>
      <c r="D199">
        <v>2</v>
      </c>
    </row>
    <row r="200" spans="1:4">
      <c r="A200" s="15">
        <v>58</v>
      </c>
      <c r="B200">
        <v>2</v>
      </c>
      <c r="C200">
        <v>3</v>
      </c>
      <c r="D200">
        <v>5</v>
      </c>
    </row>
    <row r="201" spans="1:4">
      <c r="A201" s="15">
        <v>59</v>
      </c>
      <c r="B201">
        <v>2</v>
      </c>
      <c r="D201">
        <v>2</v>
      </c>
    </row>
    <row r="202" spans="1:4">
      <c r="A202" s="15">
        <v>60</v>
      </c>
      <c r="B202">
        <v>2</v>
      </c>
      <c r="C202">
        <v>2</v>
      </c>
      <c r="D202">
        <v>4</v>
      </c>
    </row>
    <row r="203" spans="1:4">
      <c r="A203" s="15">
        <v>61</v>
      </c>
      <c r="B203">
        <v>3</v>
      </c>
      <c r="D203">
        <v>3</v>
      </c>
    </row>
    <row r="204" spans="1:4">
      <c r="A204" s="15">
        <v>62</v>
      </c>
      <c r="B204">
        <v>2</v>
      </c>
      <c r="C204">
        <v>2</v>
      </c>
      <c r="D204">
        <v>4</v>
      </c>
    </row>
    <row r="205" spans="1:4">
      <c r="A205" s="15">
        <v>63</v>
      </c>
      <c r="C205">
        <v>2</v>
      </c>
      <c r="D205">
        <v>2</v>
      </c>
    </row>
    <row r="206" spans="1:4">
      <c r="A206" s="15">
        <v>64</v>
      </c>
      <c r="B206">
        <v>2</v>
      </c>
      <c r="D206">
        <v>2</v>
      </c>
    </row>
    <row r="207" spans="1:4">
      <c r="A207" s="15">
        <v>65</v>
      </c>
      <c r="B207">
        <v>3</v>
      </c>
      <c r="D207">
        <v>3</v>
      </c>
    </row>
    <row r="208" spans="1:4">
      <c r="A208" s="15">
        <v>66</v>
      </c>
      <c r="B208">
        <v>1</v>
      </c>
      <c r="D208">
        <v>1</v>
      </c>
    </row>
    <row r="209" spans="1:4">
      <c r="A209" s="15">
        <v>70</v>
      </c>
      <c r="B209">
        <v>2</v>
      </c>
      <c r="D209">
        <v>2</v>
      </c>
    </row>
    <row r="210" spans="1:4">
      <c r="A210" s="15">
        <v>70.5</v>
      </c>
      <c r="B210">
        <v>1</v>
      </c>
      <c r="D210">
        <v>1</v>
      </c>
    </row>
    <row r="211" spans="1:4">
      <c r="A211" s="15">
        <v>71</v>
      </c>
      <c r="B211">
        <v>2</v>
      </c>
      <c r="D211">
        <v>2</v>
      </c>
    </row>
    <row r="212" spans="1:4">
      <c r="A212" s="15">
        <v>74</v>
      </c>
      <c r="B212">
        <v>1</v>
      </c>
      <c r="D212">
        <v>1</v>
      </c>
    </row>
    <row r="213" spans="1:4">
      <c r="A213" s="15">
        <v>80</v>
      </c>
      <c r="C213">
        <v>1</v>
      </c>
      <c r="D213">
        <v>1</v>
      </c>
    </row>
    <row r="214" spans="1:4">
      <c r="A214" s="15" t="s">
        <v>1265</v>
      </c>
      <c r="B214">
        <v>125</v>
      </c>
      <c r="C214">
        <v>52</v>
      </c>
      <c r="D214">
        <v>177</v>
      </c>
    </row>
    <row r="215" spans="1:4">
      <c r="A215" t="s">
        <v>1262</v>
      </c>
      <c r="B215">
        <v>549</v>
      </c>
      <c r="C215">
        <v>342</v>
      </c>
      <c r="D215">
        <v>891</v>
      </c>
    </row>
  </sheetData>
  <mergeCells count="8">
    <mergeCell ref="A2:D2"/>
    <mergeCell ref="A22:D22"/>
    <mergeCell ref="A42:D42"/>
    <mergeCell ref="A61:D61"/>
    <mergeCell ref="A79:D79"/>
    <mergeCell ref="A95:D95"/>
    <mergeCell ref="A110:D110"/>
    <mergeCell ref="A123:D123"/>
  </mergeCells>
  <pageMargins left="0.75" right="0.75" top="1" bottom="1" header="0.5" footer="0.5"/>
  <headerFooter/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N53"/>
  <sheetViews>
    <sheetView showGridLines="0" zoomScale="67" zoomScaleNormal="67" workbookViewId="0">
      <selection activeCell="S37" sqref="S37"/>
    </sheetView>
  </sheetViews>
  <sheetFormatPr defaultColWidth="9.14285714285714" defaultRowHeight="12.75"/>
  <cols>
    <col min="1" max="1" width="7.71428571428571" style="1" customWidth="1"/>
    <col min="2" max="2" width="6.71428571428571" style="1" customWidth="1"/>
    <col min="3" max="3" width="6.42857142857143" style="1" customWidth="1"/>
    <col min="4" max="4" width="36.1428571428571" style="1" customWidth="1"/>
    <col min="5" max="5" width="9.14285714285714" style="1"/>
    <col min="6" max="6" width="20" style="1" customWidth="1"/>
    <col min="7" max="7" width="9.14285714285714" style="1"/>
    <col min="8" max="8" width="27.2857142857143" style="1" customWidth="1"/>
    <col min="9" max="9" width="9.14285714285714" style="1"/>
    <col min="10" max="10" width="34.4285714285714" style="1" customWidth="1"/>
    <col min="11" max="11" width="9.14285714285714" style="1"/>
    <col min="12" max="12" width="38.7142857142857" style="1" customWidth="1"/>
    <col min="13" max="13" width="9.14285714285714" style="1"/>
    <col min="14" max="14" width="24.2857142857143" style="1" customWidth="1"/>
    <col min="15" max="16384" width="9.14285714285714" style="1"/>
  </cols>
  <sheetData>
    <row r="1" spans="4:14">
      <c r="D1" s="2" t="s">
        <v>1270</v>
      </c>
      <c r="E1" s="2"/>
      <c r="F1" s="2"/>
      <c r="G1" s="2"/>
      <c r="H1" s="2"/>
      <c r="I1" s="2"/>
      <c r="J1" s="2"/>
      <c r="K1" s="2"/>
      <c r="L1" s="2"/>
      <c r="M1" s="2"/>
      <c r="N1" s="2"/>
    </row>
    <row r="2" spans="4:14"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4:14"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4:14"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6" ht="21" spans="4:14">
      <c r="D6" s="3" t="s">
        <v>1271</v>
      </c>
      <c r="E6" s="4"/>
      <c r="F6" s="5" t="s">
        <v>1272</v>
      </c>
      <c r="G6" s="4"/>
      <c r="H6" s="6" t="s">
        <v>1273</v>
      </c>
      <c r="I6" s="4"/>
      <c r="J6" s="3" t="s">
        <v>1274</v>
      </c>
      <c r="K6" s="4"/>
      <c r="L6" s="3" t="s">
        <v>1275</v>
      </c>
      <c r="N6" s="3" t="s">
        <v>1276</v>
      </c>
    </row>
    <row r="7" ht="21" spans="4:14">
      <c r="D7" s="7">
        <v>891</v>
      </c>
      <c r="E7" s="4"/>
      <c r="F7" s="7">
        <v>342</v>
      </c>
      <c r="G7" s="4"/>
      <c r="H7" s="8">
        <v>0.3838</v>
      </c>
      <c r="I7" s="4"/>
      <c r="J7" s="7">
        <v>577</v>
      </c>
      <c r="K7" s="4"/>
      <c r="L7" s="7">
        <v>314</v>
      </c>
      <c r="N7" s="7">
        <v>549</v>
      </c>
    </row>
    <row r="9" spans="4:14"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spans="4:14"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spans="4:14"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4:14"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spans="4:14"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4:14"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4:14"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4:14"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4:14"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4:14"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4:14"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4:14"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4:14"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spans="4:14"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spans="4:14"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spans="4:14"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</row>
    <row r="25" spans="4:14"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spans="4:14"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</row>
    <row r="27" spans="4:14"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spans="4:14"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4:14"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4:14"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4:14"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spans="4:14"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</row>
    <row r="33" spans="4:14"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spans="4:14"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</row>
    <row r="35" spans="4:14"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spans="4:14"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4:14"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spans="4:14"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</row>
    <row r="39" spans="4:14"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4:14"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4:14"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4:14"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</row>
    <row r="43" ht="25.5" spans="4:14">
      <c r="D43" s="10" t="s">
        <v>1277</v>
      </c>
      <c r="E43" s="11"/>
      <c r="F43" s="11"/>
      <c r="G43" s="11"/>
      <c r="H43" s="11"/>
      <c r="I43" s="11"/>
      <c r="J43" s="11"/>
      <c r="K43" s="11"/>
      <c r="L43" s="12"/>
      <c r="M43" s="12"/>
      <c r="N43" s="12"/>
    </row>
    <row r="44" spans="4:14">
      <c r="D44" s="11"/>
      <c r="E44" s="11"/>
      <c r="F44" s="11"/>
      <c r="G44" s="11"/>
      <c r="H44" s="11"/>
      <c r="I44" s="11"/>
      <c r="J44" s="11"/>
      <c r="K44" s="11"/>
      <c r="L44" s="12"/>
      <c r="M44" s="12"/>
      <c r="N44" s="12"/>
    </row>
    <row r="45" ht="18.75" spans="4:14">
      <c r="D45" s="13" t="s">
        <v>1278</v>
      </c>
      <c r="E45" s="13"/>
      <c r="F45" s="13"/>
      <c r="G45" s="13"/>
      <c r="H45" s="13"/>
      <c r="I45" s="11"/>
      <c r="J45" s="11"/>
      <c r="K45" s="11"/>
      <c r="L45" s="12"/>
      <c r="M45" s="12"/>
      <c r="N45" s="12"/>
    </row>
    <row r="46" ht="18.75" spans="4:14">
      <c r="D46" s="13" t="s">
        <v>1279</v>
      </c>
      <c r="E46" s="13"/>
      <c r="F46" s="13"/>
      <c r="G46" s="13"/>
      <c r="H46" s="13"/>
      <c r="I46" s="11"/>
      <c r="J46" s="11"/>
      <c r="K46" s="11"/>
      <c r="L46" s="12"/>
      <c r="M46" s="12"/>
      <c r="N46" s="12"/>
    </row>
    <row r="47" ht="18.75" spans="4:14">
      <c r="D47" s="13" t="s">
        <v>1280</v>
      </c>
      <c r="E47" s="13"/>
      <c r="F47" s="13"/>
      <c r="G47" s="13"/>
      <c r="H47" s="13"/>
      <c r="I47" s="11"/>
      <c r="J47" s="11"/>
      <c r="K47" s="11"/>
      <c r="L47" s="12"/>
      <c r="M47" s="12"/>
      <c r="N47" s="12"/>
    </row>
    <row r="48" ht="18.75" spans="4:14">
      <c r="D48" s="13" t="s">
        <v>1281</v>
      </c>
      <c r="E48" s="13"/>
      <c r="F48" s="13"/>
      <c r="G48" s="13"/>
      <c r="H48" s="13"/>
      <c r="I48" s="11"/>
      <c r="J48" s="11"/>
      <c r="K48" s="11"/>
      <c r="L48" s="12"/>
      <c r="M48" s="12"/>
      <c r="N48" s="12"/>
    </row>
    <row r="49" ht="18.75" spans="4:14">
      <c r="D49" s="13" t="s">
        <v>1282</v>
      </c>
      <c r="E49" s="13"/>
      <c r="F49" s="13"/>
      <c r="G49" s="13"/>
      <c r="H49" s="13"/>
      <c r="I49" s="11"/>
      <c r="J49" s="11"/>
      <c r="K49" s="11"/>
      <c r="L49" s="12"/>
      <c r="M49" s="12"/>
      <c r="N49" s="12"/>
    </row>
    <row r="50" ht="18.75" spans="4:14">
      <c r="D50" s="13" t="s">
        <v>1283</v>
      </c>
      <c r="E50" s="13"/>
      <c r="F50" s="13"/>
      <c r="G50" s="13"/>
      <c r="H50" s="13"/>
      <c r="I50" s="11"/>
      <c r="J50" s="11"/>
      <c r="K50" s="11"/>
      <c r="L50" s="12"/>
      <c r="M50" s="12"/>
      <c r="N50" s="12"/>
    </row>
    <row r="51" ht="18.75" spans="4:14">
      <c r="D51" s="13" t="s">
        <v>1284</v>
      </c>
      <c r="E51" s="11"/>
      <c r="F51" s="11"/>
      <c r="G51" s="11"/>
      <c r="H51" s="11"/>
      <c r="I51" s="11"/>
      <c r="J51" s="11"/>
      <c r="K51" s="11"/>
      <c r="L51" s="12"/>
      <c r="M51" s="12"/>
      <c r="N51" s="12"/>
    </row>
    <row r="52" spans="4:14">
      <c r="D52" s="11"/>
      <c r="E52" s="11"/>
      <c r="F52" s="11"/>
      <c r="G52" s="11"/>
      <c r="H52" s="11"/>
      <c r="I52" s="11"/>
      <c r="J52" s="11"/>
      <c r="K52" s="11"/>
      <c r="L52" s="12"/>
      <c r="M52" s="12"/>
      <c r="N52" s="12"/>
    </row>
    <row r="53" spans="4:14"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</row>
  </sheetData>
  <mergeCells count="4">
    <mergeCell ref="D53:N53"/>
    <mergeCell ref="L43:N52"/>
    <mergeCell ref="D9:N42"/>
    <mergeCell ref="D1:N4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Rawdata</vt:lpstr>
      <vt:lpstr>Titanic.csv</vt:lpstr>
      <vt:lpstr>Analysis</vt:lpstr>
      <vt:lpstr>PivotTable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Prabhas Tamidala</cp:lastModifiedBy>
  <dcterms:created xsi:type="dcterms:W3CDTF">2026-08-30T12:30:00Z</dcterms:created>
  <dcterms:modified xsi:type="dcterms:W3CDTF">2026-10-09T06:05:04Z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99F500F089D24654BF4D491B72009F1D_12</vt:lpwstr>
  </property>
</Properties>
</file>